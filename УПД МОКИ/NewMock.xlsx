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yaguh\Desktop\УПД МОКИ\"/>
    </mc:Choice>
  </mc:AlternateContent>
  <bookViews>
    <workbookView xWindow="0" yWindow="0" windowWidth="30720" windowHeight="14100"/>
  </bookViews>
  <sheets>
    <sheet name="УПД 01 — Овощи и зелень" sheetId="1" r:id="rId1"/>
    <sheet name="УПД 02 — Молочные продукты" sheetId="2" r:id="rId2"/>
    <sheet name="УПД 03 — Бакалея" sheetId="3" r:id="rId3"/>
    <sheet name="УПД 04 — Мясо и птица" sheetId="4" r:id="rId4"/>
    <sheet name="УПД 05 — Фрукты и напитки" sheetId="5" r:id="rId5"/>
  </sheets>
  <calcPr calcId="162913"/>
</workbook>
</file>

<file path=xl/calcChain.xml><?xml version="1.0" encoding="utf-8"?>
<calcChain xmlns="http://schemas.openxmlformats.org/spreadsheetml/2006/main">
  <c r="AN20" i="5" l="1"/>
  <c r="AN19" i="5"/>
  <c r="AN21" i="5" s="1"/>
  <c r="AN18" i="5"/>
  <c r="AW18" i="5" s="1"/>
  <c r="AN17" i="5"/>
  <c r="AN16" i="5"/>
  <c r="AW16" i="5" s="1"/>
  <c r="BB16" i="5" s="1"/>
  <c r="AN15" i="5"/>
  <c r="AW15" i="5" s="1"/>
  <c r="AN20" i="4"/>
  <c r="AN19" i="4"/>
  <c r="AW19" i="4" s="1"/>
  <c r="AW18" i="4"/>
  <c r="BB18" i="4" s="1"/>
  <c r="AN18" i="4"/>
  <c r="AW17" i="4"/>
  <c r="BB17" i="4" s="1"/>
  <c r="AN17" i="4"/>
  <c r="AW16" i="4"/>
  <c r="BB16" i="4" s="1"/>
  <c r="AN16" i="4"/>
  <c r="AW15" i="4"/>
  <c r="AN15" i="4"/>
  <c r="AN21" i="4" s="1"/>
  <c r="AN20" i="3"/>
  <c r="AN19" i="3"/>
  <c r="AN18" i="3"/>
  <c r="AN17" i="3"/>
  <c r="AN16" i="3"/>
  <c r="AW16" i="3" s="1"/>
  <c r="AN15" i="3"/>
  <c r="AN21" i="3" s="1"/>
  <c r="AN20" i="2"/>
  <c r="AW20" i="2" s="1"/>
  <c r="BB20" i="2" s="1"/>
  <c r="AN19" i="2"/>
  <c r="AN18" i="2"/>
  <c r="AN17" i="2"/>
  <c r="AW16" i="2"/>
  <c r="BB16" i="2" s="1"/>
  <c r="AN16" i="2"/>
  <c r="AW15" i="2"/>
  <c r="AN15" i="2"/>
  <c r="AN21" i="2" s="1"/>
  <c r="AN20" i="1"/>
  <c r="AN19" i="1"/>
  <c r="AN18" i="1"/>
  <c r="AW18" i="1" s="1"/>
  <c r="AN17" i="1"/>
  <c r="AN16" i="1"/>
  <c r="AN15" i="1"/>
  <c r="AW15" i="1" s="1"/>
  <c r="BB15" i="5" l="1"/>
  <c r="BB16" i="1"/>
  <c r="BB18" i="2"/>
  <c r="BB20" i="4"/>
  <c r="BB17" i="5"/>
  <c r="BB18" i="3"/>
  <c r="BB18" i="1"/>
  <c r="AW18" i="2"/>
  <c r="BB16" i="3"/>
  <c r="AW20" i="4"/>
  <c r="AW21" i="4" s="1"/>
  <c r="BB18" i="5"/>
  <c r="AW19" i="5"/>
  <c r="BB19" i="5" s="1"/>
  <c r="BB15" i="3"/>
  <c r="BB19" i="4"/>
  <c r="AW17" i="3"/>
  <c r="BB17" i="3" s="1"/>
  <c r="BB15" i="4"/>
  <c r="BB15" i="1"/>
  <c r="AN21" i="1"/>
  <c r="AW19" i="2"/>
  <c r="BB19" i="2" s="1"/>
  <c r="AW15" i="3"/>
  <c r="AW16" i="1"/>
  <c r="AW18" i="3"/>
  <c r="AW20" i="5"/>
  <c r="BB20" i="5" s="1"/>
  <c r="AW17" i="5"/>
  <c r="AW21" i="5" s="1"/>
  <c r="AW17" i="2"/>
  <c r="BB17" i="2" s="1"/>
  <c r="AW20" i="1"/>
  <c r="BB20" i="1" s="1"/>
  <c r="AW17" i="1"/>
  <c r="BB17" i="1" s="1"/>
  <c r="BB15" i="2"/>
  <c r="AW19" i="3"/>
  <c r="BB19" i="3" s="1"/>
  <c r="AW20" i="3"/>
  <c r="BB20" i="3" s="1"/>
  <c r="AW19" i="1"/>
  <c r="BB19" i="1" s="1"/>
  <c r="BB21" i="3" l="1"/>
  <c r="BB21" i="1"/>
  <c r="AW21" i="2"/>
  <c r="BB21" i="4"/>
  <c r="BB21" i="2"/>
  <c r="AW21" i="3"/>
  <c r="BB21" i="5"/>
  <c r="AW21" i="1"/>
</calcChain>
</file>

<file path=xl/sharedStrings.xml><?xml version="1.0" encoding="utf-8"?>
<sst xmlns="http://schemas.openxmlformats.org/spreadsheetml/2006/main" count="940" uniqueCount="236">
  <si>
    <t>Универсальный передаточный
документ</t>
  </si>
  <si>
    <t>Счет-фактура №</t>
  </si>
  <si>
    <t>от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</si>
  <si>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</si>
  <si>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</si>
  <si>
    <t>Исправление №</t>
  </si>
  <si>
    <t>---</t>
  </si>
  <si>
    <t>(1а)</t>
  </si>
  <si>
    <t>Продавец:</t>
  </si>
  <si>
    <t>(2)</t>
  </si>
  <si>
    <t>Покупатель:</t>
  </si>
  <si>
    <t>(6)</t>
  </si>
  <si>
    <t xml:space="preserve">    Статус:</t>
  </si>
  <si>
    <t>Адрес:</t>
  </si>
  <si>
    <t>(2а)</t>
  </si>
  <si>
    <t>(6а)</t>
  </si>
  <si>
    <t>ИНН/КПП продавца:</t>
  </si>
  <si>
    <t>(2б)</t>
  </si>
  <si>
    <t>ИНН/КПП покупателя: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</si>
  <si>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</si>
  <si>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</si>
  <si>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</si>
  <si>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(3)</t>
  </si>
  <si>
    <t>Валюта: наименование, код</t>
  </si>
  <si>
    <t>(7)</t>
  </si>
  <si>
    <t>Грузополучатель и его адрес: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</si>
  <si>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</si>
  <si>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</si>
  <si>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</si>
  <si>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</si>
  <si>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>(5)</t>
  </si>
  <si>
    <t>Документ об отгрузке</t>
  </si>
  <si>
    <t>(5а)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</si>
  <si>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</si>
  <si>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</si>
  <si>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</si>
  <si>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</si>
  <si>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</si>
  <si>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</si>
  <si>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</si>
  <si>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</si>
  <si>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</si>
  <si>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</si>
  <si>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</si>
  <si>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</si>
  <si>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</si>
  <si>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</si>
  <si>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Количественная единица измерения товара, используемая в целях осуществления прослеживаемости</t>
  </si>
  <si>
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</si>
  <si>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>Стоимость товара, подлежащего прослеживаемости, без налога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</si>
  <si>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</si>
  <si>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</si>
  <si>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</si>
  <si>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</si>
  <si>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условное обозначение</t>
  </si>
  <si>
    <t>А</t>
  </si>
  <si>
    <t>1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</si>
  <si>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</si>
  <si>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</si>
  <si>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</si>
  <si>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</si>
  <si>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</si>
  <si>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</si>
  <si>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</si>
  <si>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</si>
  <si>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</si>
  <si>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</si>
  <si>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</si>
  <si>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</si>
  <si>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</si>
  <si>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</si>
  <si>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12</t>
  </si>
  <si>
    <t>12а</t>
  </si>
  <si>
    <t>13</t>
  </si>
  <si>
    <t>14</t>
  </si>
  <si>
    <t>Всего к оплате</t>
  </si>
  <si>
    <t>Х</t>
  </si>
  <si>
    <t>Руководитель организации
или иное уполномоченное лицо</t>
  </si>
  <si>
    <t>Главный бухгалтер
или иное уполномоченное лицо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</si>
  <si>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</si>
  <si>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</si>
  <si>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</si>
  <si>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 регистрации индивидуального предпринимателя)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</si>
  <si>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</si>
  <si>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</si>
  <si>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</si>
  <si>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</si>
  <si>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</si>
  <si>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</si>
  <si>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</si>
  <si>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</si>
  <si>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</si>
  <si>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</si>
  <si>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</si>
  <si>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</si>
  <si>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</si>
  <si>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</si>
  <si>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</si>
  <si>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</si>
  <si>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</si>
  <si>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</si>
  <si>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</si>
  <si>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</si>
  <si>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</si>
  <si>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</si>
  <si>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</si>
  <si>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</si>
  <si>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</si>
  <si>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</si>
  <si>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</si>
  <si>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[14]</t>
  </si>
  <si>
    <t>[19]</t>
  </si>
  <si>
    <t>(может не заполняться при проставлении печати в М.П., может быть указан ИНН / КПП)</t>
  </si>
  <si>
    <t>М.П.</t>
  </si>
  <si>
    <t>101</t>
  </si>
  <si>
    <t>01 октября 2026 г.</t>
  </si>
  <si>
    <t>ООО "Зелёная ферма"</t>
  </si>
  <si>
    <t>ООО "Флагман Ресторан"</t>
  </si>
  <si>
    <t>141506, Московская обл., г. Солнечногорск, ул. Промышленная, д. 8</t>
  </si>
  <si>
    <t>125047, г. Москва, ул. Лесная, д. 12, стр. 2</t>
  </si>
  <si>
    <t>9999001001/999901001</t>
  </si>
  <si>
    <t>9999000123/999901001</t>
  </si>
  <si>
    <t>он же</t>
  </si>
  <si>
    <t>Российский рубль, 643</t>
  </si>
  <si>
    <t>ООО "Флагман Ресторан"; 125047, г. Москва, ул. Лесная, д. 12, стр. 2</t>
  </si>
  <si>
    <t>№ 101 от 01 октября 2026 г.</t>
  </si>
  <si>
    <t>Документ отгрузки № 101 от 01 октября 2026 г. (ДЕМО)</t>
  </si>
  <si>
    <t>Т-101-001</t>
  </si>
  <si>
    <t>Помидоры свежие тепличные</t>
  </si>
  <si>
    <t>--</t>
  </si>
  <si>
    <t>кг</t>
  </si>
  <si>
    <t>без акциза</t>
  </si>
  <si>
    <t>РОССИЯ</t>
  </si>
  <si>
    <t>Т-101-002</t>
  </si>
  <si>
    <t>Огурцы короткоплодные свежие</t>
  </si>
  <si>
    <t>Т-101-003</t>
  </si>
  <si>
    <t>Картофель мытый</t>
  </si>
  <si>
    <t>Т-101-004</t>
  </si>
  <si>
    <t>Морковь столовая</t>
  </si>
  <si>
    <t>Т-101-005</t>
  </si>
  <si>
    <t>Лук репчатый</t>
  </si>
  <si>
    <t>Т-101-006</t>
  </si>
  <si>
    <t>Укроп свежий</t>
  </si>
  <si>
    <t>Климов А. И.</t>
  </si>
  <si>
    <t>Носова Е. В.</t>
  </si>
  <si>
    <t>Тестовый договор поставки № 101 от 01.09.2026</t>
  </si>
  <si>
    <t>102</t>
  </si>
  <si>
    <t>03 октября 2026 г.</t>
  </si>
  <si>
    <t>ООО "Молочный двор"</t>
  </si>
  <si>
    <t>143900, Московская обл., г. Балашиха, ш. Энтузиастов, д. 21</t>
  </si>
  <si>
    <t>9999002002/999902001</t>
  </si>
  <si>
    <t>№ 102 от 03 октября 2026 г.</t>
  </si>
  <si>
    <t>Документ отгрузки № 102 от 03 октября 2026 г. (ДЕМО)</t>
  </si>
  <si>
    <t>Т-102-001</t>
  </si>
  <si>
    <t>Молоко питьевое 3,2%, 1 л</t>
  </si>
  <si>
    <t>шт</t>
  </si>
  <si>
    <t>Т-102-002</t>
  </si>
  <si>
    <t>Сливки питьевые 20%, 1 л</t>
  </si>
  <si>
    <t>Т-102-003</t>
  </si>
  <si>
    <t>Сметана 20%, 500 г</t>
  </si>
  <si>
    <t>Т-102-004</t>
  </si>
  <si>
    <t>Сыр Гауда 45%</t>
  </si>
  <si>
    <t>Т-102-005</t>
  </si>
  <si>
    <t>Масло сливочное 82,5%</t>
  </si>
  <si>
    <t>Т-102-006</t>
  </si>
  <si>
    <t>Доставка товара</t>
  </si>
  <si>
    <t>усл</t>
  </si>
  <si>
    <t>Тихонов П. С.</t>
  </si>
  <si>
    <t>Миронова О. К.</t>
  </si>
  <si>
    <t>Тестовый договор поставки № 102 от 01.09.2026</t>
  </si>
  <si>
    <t>103</t>
  </si>
  <si>
    <t>05 октября 2026 г.</t>
  </si>
  <si>
    <t>ООО "Бакалея Опт"</t>
  </si>
  <si>
    <t>115404, г. Москва, ул. Радиальная 6-я, д. 17</t>
  </si>
  <si>
    <t>9999003003/999903001</t>
  </si>
  <si>
    <t>№ 103 от 05 октября 2026 г.</t>
  </si>
  <si>
    <t>Документ отгрузки № 103 от 05 октября 2026 г. (ДЕМО)</t>
  </si>
  <si>
    <t>Т-103-001</t>
  </si>
  <si>
    <t>Рис пропаренный</t>
  </si>
  <si>
    <t>Т-103-002</t>
  </si>
  <si>
    <t>Крупа гречневая ядрица</t>
  </si>
  <si>
    <t>Т-103-003</t>
  </si>
  <si>
    <t>Мука пшеничная высшего сорта</t>
  </si>
  <si>
    <t>Т-103-004</t>
  </si>
  <si>
    <t>Макаронные изделия «Перья»</t>
  </si>
  <si>
    <t>Т-103-005</t>
  </si>
  <si>
    <t>Сахар-песок</t>
  </si>
  <si>
    <t>Т-103-006</t>
  </si>
  <si>
    <t>Соль поваренная пищевая</t>
  </si>
  <si>
    <t>Захаров М. Л.</t>
  </si>
  <si>
    <t>Власова Н. Е.</t>
  </si>
  <si>
    <t>Тестовый договор поставки № 103 от 01.09.2026</t>
  </si>
  <si>
    <t>104</t>
  </si>
  <si>
    <t>07 октября 2026 г.</t>
  </si>
  <si>
    <t>ООО "Мясная база"</t>
  </si>
  <si>
    <t>142100, Московская обл., г. Подольск, ул. Бронницкая, д. 11</t>
  </si>
  <si>
    <t>9999004004/999904001</t>
  </si>
  <si>
    <t>№ 104 от 07 октября 2026 г.</t>
  </si>
  <si>
    <t>Документ отгрузки № 104 от 07 октября 2026 г. (ДЕМО)</t>
  </si>
  <si>
    <t>Т-104-001</t>
  </si>
  <si>
    <t>Филе куриное охлаждённое</t>
  </si>
  <si>
    <t>Т-104-002</t>
  </si>
  <si>
    <t>Говядина лопаточная без кости</t>
  </si>
  <si>
    <t>Т-104-003</t>
  </si>
  <si>
    <t>Фарш из индейки охлаждённый</t>
  </si>
  <si>
    <t>Т-104-004</t>
  </si>
  <si>
    <t>Свинина окорок без кости</t>
  </si>
  <si>
    <t>Т-104-005</t>
  </si>
  <si>
    <t>Бедро куриное без кости</t>
  </si>
  <si>
    <t>Т-104-006</t>
  </si>
  <si>
    <t>Транспортные услуги</t>
  </si>
  <si>
    <t>Серов Д. Н.</t>
  </si>
  <si>
    <t>Орлова Л. П.</t>
  </si>
  <si>
    <t>Тестовый договор поставки № 104 от 01.09.2026</t>
  </si>
  <si>
    <t>105</t>
  </si>
  <si>
    <t>09 октября 2026 г.</t>
  </si>
  <si>
    <t>ООО "Фруктовый маркет"</t>
  </si>
  <si>
    <t>109429, г. Москва, ул. Верхние Поля, д. 48А</t>
  </si>
  <si>
    <t>9999005005/999905001</t>
  </si>
  <si>
    <t>№ 105 от 09 октября 2026 г.</t>
  </si>
  <si>
    <t>Документ отгрузки № 105 от 09 октября 2026 г. (ДЕМО)</t>
  </si>
  <si>
    <t>Т-105-001</t>
  </si>
  <si>
    <t>Яблоки свежие сорта Гала</t>
  </si>
  <si>
    <t>Т-105-002</t>
  </si>
  <si>
    <t>Бананы свежие</t>
  </si>
  <si>
    <t>Т-105-003</t>
  </si>
  <si>
    <t>Апельсины свежие</t>
  </si>
  <si>
    <t>Т-105-004</t>
  </si>
  <si>
    <t>Лимоны свежие</t>
  </si>
  <si>
    <t>Т-105-005</t>
  </si>
  <si>
    <t>Т-105-006</t>
  </si>
  <si>
    <t>Романов И. В.</t>
  </si>
  <si>
    <t>Белова Ю. С.</t>
  </si>
  <si>
    <t>Тестовый договор поставки № 105 от 01.09.2026</t>
  </si>
  <si>
    <t>Сок апельсиновый</t>
  </si>
  <si>
    <t>Яйцо куриное столовое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</si>
</sst>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8"/>
      <name val="Arial"/>
    </font>
    <font>
      <sz val="8"/>
      <name val="Arial"/>
    </font>
    <font>
      <sz val="7"/>
      <name val="Arial"/>
    </font>
    <font>
      <sz val="6"/>
      <name val="Arial"/>
    </font>
    <font>
      <b/>
      <sz val="7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/>
    </xf>
    <xf numFmtId="0" fontId="2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6" xfId="0" applyFont="1" applyFill="1" applyBorder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3" xfId="0" applyFont="1" applyFill="1" applyBorder="1" applyAlignment="1">
      <alignment horizontal="left" wrapText="1"/>
    </xf>
    <xf numFmtId="0" fontId="1" fillId="2" borderId="19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top" wrapText="1"/>
    </xf>
    <xf numFmtId="1" fontId="2" fillId="2" borderId="21" xfId="0" applyNumberFormat="1" applyFont="1" applyFill="1" applyBorder="1" applyAlignment="1">
      <alignment horizontal="right" vertical="top" wrapText="1"/>
    </xf>
    <xf numFmtId="164" fontId="2" fillId="2" borderId="21" xfId="0" applyNumberFormat="1" applyFont="1" applyFill="1" applyBorder="1" applyAlignment="1">
      <alignment horizontal="right" vertical="top" wrapText="1"/>
    </xf>
    <xf numFmtId="4" fontId="2" fillId="2" borderId="21" xfId="0" applyNumberFormat="1" applyFont="1" applyFill="1" applyBorder="1" applyAlignment="1">
      <alignment horizontal="right" vertical="top" wrapText="1"/>
    </xf>
    <xf numFmtId="2" fontId="2" fillId="2" borderId="21" xfId="0" applyNumberFormat="1" applyFont="1" applyFill="1" applyBorder="1" applyAlignment="1">
      <alignment horizontal="right" vertical="top" wrapText="1"/>
    </xf>
    <xf numFmtId="0" fontId="2" fillId="2" borderId="21" xfId="0" applyFont="1" applyFill="1" applyBorder="1" applyAlignment="1">
      <alignment horizontal="left" vertical="top"/>
    </xf>
    <xf numFmtId="0" fontId="1" fillId="2" borderId="21" xfId="0" applyFont="1" applyFill="1" applyBorder="1" applyAlignment="1">
      <alignment horizontal="left" vertical="top"/>
    </xf>
    <xf numFmtId="0" fontId="1" fillId="2" borderId="21" xfId="0" applyFont="1" applyFill="1" applyBorder="1" applyAlignment="1">
      <alignment horizontal="right" vertical="top"/>
    </xf>
    <xf numFmtId="0" fontId="2" fillId="2" borderId="13" xfId="0" applyFont="1" applyFill="1" applyBorder="1" applyAlignment="1">
      <alignment horizontal="left" vertical="center" wrapText="1"/>
    </xf>
    <xf numFmtId="4" fontId="2" fillId="2" borderId="13" xfId="0" applyNumberFormat="1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/>
    </xf>
    <xf numFmtId="1" fontId="2" fillId="2" borderId="18" xfId="0" applyNumberFormat="1" applyFont="1" applyFill="1" applyBorder="1" applyAlignment="1">
      <alignment horizontal="right" vertical="top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 wrapText="1"/>
    </xf>
    <xf numFmtId="4" fontId="2" fillId="2" borderId="12" xfId="0" applyNumberFormat="1" applyFont="1" applyFill="1" applyBorder="1" applyAlignment="1">
      <alignment horizontal="left" vertical="center" wrapText="1"/>
    </xf>
    <xf numFmtId="164" fontId="2" fillId="2" borderId="16" xfId="0" applyNumberFormat="1" applyFont="1" applyFill="1" applyBorder="1" applyAlignment="1">
      <alignment horizontal="left" vertical="center" wrapText="1"/>
    </xf>
    <xf numFmtId="164" fontId="2" fillId="2" borderId="17" xfId="0" applyNumberFormat="1" applyFont="1" applyFill="1" applyBorder="1" applyAlignment="1">
      <alignment horizontal="left" vertical="center" wrapText="1"/>
    </xf>
    <xf numFmtId="3" fontId="2" fillId="2" borderId="13" xfId="0" applyNumberFormat="1" applyFont="1" applyFill="1" applyBorder="1" applyAlignment="1">
      <alignment horizontal="center" vertical="center" wrapText="1"/>
    </xf>
    <xf numFmtId="4" fontId="2" fillId="2" borderId="13" xfId="0" applyNumberFormat="1" applyFont="1" applyFill="1" applyBorder="1" applyAlignment="1">
      <alignment horizontal="center" vertical="center" wrapText="1"/>
    </xf>
    <xf numFmtId="9" fontId="2" fillId="2" borderId="12" xfId="0" applyNumberFormat="1" applyFont="1" applyFill="1" applyBorder="1" applyAlignment="1">
      <alignment horizontal="left" vertical="center" wrapText="1"/>
    </xf>
    <xf numFmtId="9" fontId="2" fillId="2" borderId="16" xfId="0" applyNumberFormat="1" applyFont="1" applyFill="1" applyBorder="1" applyAlignment="1">
      <alignment horizontal="left" vertical="center" wrapText="1"/>
    </xf>
    <xf numFmtId="9" fontId="2" fillId="2" borderId="17" xfId="0" applyNumberFormat="1" applyFont="1" applyFill="1" applyBorder="1" applyAlignment="1">
      <alignment horizontal="left" vertical="center" wrapText="1"/>
    </xf>
    <xf numFmtId="3" fontId="2" fillId="2" borderId="13" xfId="0" applyNumberFormat="1" applyFont="1" applyFill="1" applyBorder="1" applyAlignment="1">
      <alignment horizontal="right" vertical="top" wrapText="1"/>
    </xf>
    <xf numFmtId="2" fontId="2" fillId="2" borderId="13" xfId="0" applyNumberFormat="1" applyFont="1" applyFill="1" applyBorder="1" applyAlignment="1">
      <alignment horizontal="right" vertical="top" wrapText="1"/>
    </xf>
    <xf numFmtId="164" fontId="2" fillId="2" borderId="13" xfId="0" applyNumberFormat="1" applyFont="1" applyFill="1" applyBorder="1" applyAlignment="1">
      <alignment horizontal="right" vertical="top" wrapText="1"/>
    </xf>
    <xf numFmtId="4" fontId="2" fillId="2" borderId="13" xfId="0" applyNumberFormat="1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3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3" xfId="0" applyFont="1" applyFill="1" applyBorder="1" applyAlignment="1">
      <alignment horizontal="left" wrapText="1"/>
    </xf>
    <xf numFmtId="0" fontId="1" fillId="2" borderId="2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 vertical="top"/>
    </xf>
    <xf numFmtId="0" fontId="3" fillId="2" borderId="20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3" fontId="2" fillId="2" borderId="13" xfId="0" applyNumberFormat="1" applyFont="1" applyFill="1" applyBorder="1" applyAlignment="1">
      <alignment horizontal="right" wrapText="1"/>
    </xf>
    <xf numFmtId="2" fontId="2" fillId="2" borderId="13" xfId="0" applyNumberFormat="1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1" fillId="2" borderId="0" xfId="0" applyFont="1" applyFill="1" applyAlignment="1">
      <alignment horizontal="left" vertical="top" wrapText="1"/>
    </xf>
    <xf numFmtId="0" fontId="1" fillId="2" borderId="2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vertical="center"/>
    </xf>
    <xf numFmtId="0" fontId="1" fillId="2" borderId="21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top" wrapText="1"/>
    </xf>
    <xf numFmtId="0" fontId="2" fillId="2" borderId="2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wrapText="1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2" fillId="2" borderId="3" xfId="0" applyFont="1" applyFill="1" applyBorder="1" applyAlignment="1">
      <alignment horizontal="center" wrapText="1"/>
    </xf>
    <xf numFmtId="0" fontId="3" fillId="2" borderId="0" xfId="0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91</xdr:col>
      <xdr:colOff>19050</xdr:colOff>
      <xdr:row>22</xdr:row>
      <xdr:rowOff>0</xdr:rowOff>
    </xdr:from>
    <xdr:to>
      <xdr:col>92</xdr:col>
      <xdr:colOff>495300</xdr:colOff>
      <xdr:row>22</xdr:row>
      <xdr:rowOff>222885</xdr:rowOff>
    </xdr:to>
    <xdr:sp macro="" textlink="">
      <xdr:nvSpPr>
        <xdr:cNvPr id="3" name="Имя "/>
        <xdr:cNvSpPr>
          <a:spLocks noGrp="1"/>
        </xdr:cNvSpPr>
      </xdr:nvSpPr>
      <xdr:spPr>
        <a:xfrm>
          <a:off x="0" y="0"/>
          <a:ext cx="1038225" cy="200025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27</xdr:col>
      <xdr:colOff>66675</xdr:colOff>
      <xdr:row>40</xdr:row>
      <xdr:rowOff>85725</xdr:rowOff>
    </xdr:from>
    <xdr:to>
      <xdr:col>36</xdr:col>
      <xdr:colOff>47625</xdr:colOff>
      <xdr:row>42</xdr:row>
      <xdr:rowOff>0</xdr:rowOff>
    </xdr:to>
    <xdr:sp macro="" textlink="">
      <xdr:nvSpPr>
        <xdr:cNvPr id="4" name="Имя "/>
        <xdr:cNvSpPr>
          <a:spLocks noGrp="1"/>
        </xdr:cNvSpPr>
      </xdr:nvSpPr>
      <xdr:spPr>
        <a:xfrm>
          <a:off x="0" y="0"/>
          <a:ext cx="5038725" cy="295275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</xdr:col>
      <xdr:colOff>152400</xdr:colOff>
      <xdr:row>59</xdr:row>
      <xdr:rowOff>0</xdr:rowOff>
    </xdr:from>
    <xdr:to>
      <xdr:col>22</xdr:col>
      <xdr:colOff>66675</xdr:colOff>
      <xdr:row>70</xdr:row>
      <xdr:rowOff>123825</xdr:rowOff>
    </xdr:to>
    <xdr:sp macro="" textlink="">
      <xdr:nvSpPr>
        <xdr:cNvPr id="5" name="Имя "/>
        <xdr:cNvSpPr>
          <a:spLocks noGrp="1"/>
        </xdr:cNvSpPr>
      </xdr:nvSpPr>
      <xdr:spPr>
        <a:xfrm>
          <a:off x="257175" y="9401175"/>
          <a:ext cx="2914650" cy="1695450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27</xdr:col>
      <xdr:colOff>66675</xdr:colOff>
      <xdr:row>32</xdr:row>
      <xdr:rowOff>66675</xdr:rowOff>
    </xdr:from>
    <xdr:to>
      <xdr:col>36</xdr:col>
      <xdr:colOff>47625</xdr:colOff>
      <xdr:row>34</xdr:row>
      <xdr:rowOff>1905</xdr:rowOff>
    </xdr:to>
    <xdr:sp macro="" textlink="">
      <xdr:nvSpPr>
        <xdr:cNvPr id="6" name="Имя "/>
        <xdr:cNvSpPr>
          <a:spLocks noGrp="1"/>
        </xdr:cNvSpPr>
      </xdr:nvSpPr>
      <xdr:spPr>
        <a:xfrm>
          <a:off x="0" y="0"/>
          <a:ext cx="5038725" cy="247650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28575</xdr:colOff>
      <xdr:row>22</xdr:row>
      <xdr:rowOff>0</xdr:rowOff>
    </xdr:from>
    <xdr:to>
      <xdr:col>44</xdr:col>
      <xdr:colOff>333375</xdr:colOff>
      <xdr:row>23</xdr:row>
      <xdr:rowOff>9525</xdr:rowOff>
    </xdr:to>
    <xdr:sp macro="" textlink="">
      <xdr:nvSpPr>
        <xdr:cNvPr id="2" name="Имя "/>
        <xdr:cNvSpPr>
          <a:spLocks noGrp="1"/>
        </xdr:cNvSpPr>
      </xdr:nvSpPr>
      <xdr:spPr>
        <a:xfrm>
          <a:off x="0" y="0"/>
          <a:ext cx="4800600" cy="200025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91</xdr:col>
      <xdr:colOff>19050</xdr:colOff>
      <xdr:row>22</xdr:row>
      <xdr:rowOff>0</xdr:rowOff>
    </xdr:from>
    <xdr:to>
      <xdr:col>92</xdr:col>
      <xdr:colOff>495300</xdr:colOff>
      <xdr:row>23</xdr:row>
      <xdr:rowOff>9525</xdr:rowOff>
    </xdr:to>
    <xdr:sp macro="" textlink="">
      <xdr:nvSpPr>
        <xdr:cNvPr id="3" name="Имя "/>
        <xdr:cNvSpPr>
          <a:spLocks noGrp="1"/>
        </xdr:cNvSpPr>
      </xdr:nvSpPr>
      <xdr:spPr>
        <a:xfrm>
          <a:off x="0" y="0"/>
          <a:ext cx="1038225" cy="200025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27</xdr:col>
      <xdr:colOff>66675</xdr:colOff>
      <xdr:row>40</xdr:row>
      <xdr:rowOff>85725</xdr:rowOff>
    </xdr:from>
    <xdr:to>
      <xdr:col>36</xdr:col>
      <xdr:colOff>47625</xdr:colOff>
      <xdr:row>42</xdr:row>
      <xdr:rowOff>0</xdr:rowOff>
    </xdr:to>
    <xdr:sp macro="" textlink="">
      <xdr:nvSpPr>
        <xdr:cNvPr id="4" name="Имя "/>
        <xdr:cNvSpPr>
          <a:spLocks noGrp="1"/>
        </xdr:cNvSpPr>
      </xdr:nvSpPr>
      <xdr:spPr>
        <a:xfrm>
          <a:off x="0" y="0"/>
          <a:ext cx="5038725" cy="295275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</xdr:col>
      <xdr:colOff>152400</xdr:colOff>
      <xdr:row>59</xdr:row>
      <xdr:rowOff>0</xdr:rowOff>
    </xdr:from>
    <xdr:to>
      <xdr:col>22</xdr:col>
      <xdr:colOff>66675</xdr:colOff>
      <xdr:row>70</xdr:row>
      <xdr:rowOff>123825</xdr:rowOff>
    </xdr:to>
    <xdr:sp macro="" textlink="">
      <xdr:nvSpPr>
        <xdr:cNvPr id="5" name="Имя "/>
        <xdr:cNvSpPr>
          <a:spLocks noGrp="1"/>
        </xdr:cNvSpPr>
      </xdr:nvSpPr>
      <xdr:spPr>
        <a:xfrm>
          <a:off x="257175" y="9401175"/>
          <a:ext cx="2914650" cy="1695450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27</xdr:col>
      <xdr:colOff>66675</xdr:colOff>
      <xdr:row>32</xdr:row>
      <xdr:rowOff>66675</xdr:rowOff>
    </xdr:from>
    <xdr:to>
      <xdr:col>36</xdr:col>
      <xdr:colOff>47625</xdr:colOff>
      <xdr:row>34</xdr:row>
      <xdr:rowOff>1905</xdr:rowOff>
    </xdr:to>
    <xdr:sp macro="" textlink="">
      <xdr:nvSpPr>
        <xdr:cNvPr id="6" name="Имя "/>
        <xdr:cNvSpPr>
          <a:spLocks noGrp="1"/>
        </xdr:cNvSpPr>
      </xdr:nvSpPr>
      <xdr:spPr>
        <a:xfrm>
          <a:off x="0" y="0"/>
          <a:ext cx="5038725" cy="247650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28575</xdr:colOff>
      <xdr:row>22</xdr:row>
      <xdr:rowOff>0</xdr:rowOff>
    </xdr:from>
    <xdr:to>
      <xdr:col>44</xdr:col>
      <xdr:colOff>333375</xdr:colOff>
      <xdr:row>23</xdr:row>
      <xdr:rowOff>9525</xdr:rowOff>
    </xdr:to>
    <xdr:sp macro="" textlink="">
      <xdr:nvSpPr>
        <xdr:cNvPr id="2" name="Имя "/>
        <xdr:cNvSpPr>
          <a:spLocks noGrp="1"/>
        </xdr:cNvSpPr>
      </xdr:nvSpPr>
      <xdr:spPr>
        <a:xfrm>
          <a:off x="0" y="0"/>
          <a:ext cx="4800600" cy="200025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91</xdr:col>
      <xdr:colOff>19050</xdr:colOff>
      <xdr:row>22</xdr:row>
      <xdr:rowOff>0</xdr:rowOff>
    </xdr:from>
    <xdr:to>
      <xdr:col>92</xdr:col>
      <xdr:colOff>495300</xdr:colOff>
      <xdr:row>23</xdr:row>
      <xdr:rowOff>9525</xdr:rowOff>
    </xdr:to>
    <xdr:sp macro="" textlink="">
      <xdr:nvSpPr>
        <xdr:cNvPr id="3" name="Имя "/>
        <xdr:cNvSpPr>
          <a:spLocks noGrp="1"/>
        </xdr:cNvSpPr>
      </xdr:nvSpPr>
      <xdr:spPr>
        <a:xfrm>
          <a:off x="0" y="0"/>
          <a:ext cx="1038225" cy="200025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27</xdr:col>
      <xdr:colOff>66675</xdr:colOff>
      <xdr:row>40</xdr:row>
      <xdr:rowOff>85725</xdr:rowOff>
    </xdr:from>
    <xdr:to>
      <xdr:col>36</xdr:col>
      <xdr:colOff>47625</xdr:colOff>
      <xdr:row>42</xdr:row>
      <xdr:rowOff>0</xdr:rowOff>
    </xdr:to>
    <xdr:sp macro="" textlink="">
      <xdr:nvSpPr>
        <xdr:cNvPr id="4" name="Имя "/>
        <xdr:cNvSpPr>
          <a:spLocks noGrp="1"/>
        </xdr:cNvSpPr>
      </xdr:nvSpPr>
      <xdr:spPr>
        <a:xfrm>
          <a:off x="0" y="0"/>
          <a:ext cx="5038725" cy="295275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</xdr:col>
      <xdr:colOff>152400</xdr:colOff>
      <xdr:row>59</xdr:row>
      <xdr:rowOff>0</xdr:rowOff>
    </xdr:from>
    <xdr:to>
      <xdr:col>22</xdr:col>
      <xdr:colOff>66675</xdr:colOff>
      <xdr:row>70</xdr:row>
      <xdr:rowOff>123825</xdr:rowOff>
    </xdr:to>
    <xdr:sp macro="" textlink="">
      <xdr:nvSpPr>
        <xdr:cNvPr id="5" name="Имя "/>
        <xdr:cNvSpPr>
          <a:spLocks noGrp="1"/>
        </xdr:cNvSpPr>
      </xdr:nvSpPr>
      <xdr:spPr>
        <a:xfrm>
          <a:off x="257175" y="9401175"/>
          <a:ext cx="2914650" cy="1695450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27</xdr:col>
      <xdr:colOff>66675</xdr:colOff>
      <xdr:row>32</xdr:row>
      <xdr:rowOff>66675</xdr:rowOff>
    </xdr:from>
    <xdr:to>
      <xdr:col>36</xdr:col>
      <xdr:colOff>47625</xdr:colOff>
      <xdr:row>34</xdr:row>
      <xdr:rowOff>1905</xdr:rowOff>
    </xdr:to>
    <xdr:sp macro="" textlink="">
      <xdr:nvSpPr>
        <xdr:cNvPr id="6" name="Имя "/>
        <xdr:cNvSpPr>
          <a:spLocks noGrp="1"/>
        </xdr:cNvSpPr>
      </xdr:nvSpPr>
      <xdr:spPr>
        <a:xfrm>
          <a:off x="0" y="0"/>
          <a:ext cx="5038725" cy="247650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28575</xdr:colOff>
      <xdr:row>22</xdr:row>
      <xdr:rowOff>0</xdr:rowOff>
    </xdr:from>
    <xdr:to>
      <xdr:col>44</xdr:col>
      <xdr:colOff>333375</xdr:colOff>
      <xdr:row>23</xdr:row>
      <xdr:rowOff>9525</xdr:rowOff>
    </xdr:to>
    <xdr:sp macro="" textlink="">
      <xdr:nvSpPr>
        <xdr:cNvPr id="2" name="Имя "/>
        <xdr:cNvSpPr>
          <a:spLocks noGrp="1"/>
        </xdr:cNvSpPr>
      </xdr:nvSpPr>
      <xdr:spPr>
        <a:xfrm>
          <a:off x="0" y="0"/>
          <a:ext cx="4800600" cy="200025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91</xdr:col>
      <xdr:colOff>19050</xdr:colOff>
      <xdr:row>22</xdr:row>
      <xdr:rowOff>0</xdr:rowOff>
    </xdr:from>
    <xdr:to>
      <xdr:col>92</xdr:col>
      <xdr:colOff>495300</xdr:colOff>
      <xdr:row>23</xdr:row>
      <xdr:rowOff>9525</xdr:rowOff>
    </xdr:to>
    <xdr:sp macro="" textlink="">
      <xdr:nvSpPr>
        <xdr:cNvPr id="3" name="Имя "/>
        <xdr:cNvSpPr>
          <a:spLocks noGrp="1"/>
        </xdr:cNvSpPr>
      </xdr:nvSpPr>
      <xdr:spPr>
        <a:xfrm>
          <a:off x="0" y="0"/>
          <a:ext cx="1038225" cy="200025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27</xdr:col>
      <xdr:colOff>66675</xdr:colOff>
      <xdr:row>40</xdr:row>
      <xdr:rowOff>85725</xdr:rowOff>
    </xdr:from>
    <xdr:to>
      <xdr:col>36</xdr:col>
      <xdr:colOff>47625</xdr:colOff>
      <xdr:row>42</xdr:row>
      <xdr:rowOff>0</xdr:rowOff>
    </xdr:to>
    <xdr:sp macro="" textlink="">
      <xdr:nvSpPr>
        <xdr:cNvPr id="4" name="Имя "/>
        <xdr:cNvSpPr>
          <a:spLocks noGrp="1"/>
        </xdr:cNvSpPr>
      </xdr:nvSpPr>
      <xdr:spPr>
        <a:xfrm>
          <a:off x="0" y="0"/>
          <a:ext cx="5038725" cy="295275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</xdr:col>
      <xdr:colOff>152400</xdr:colOff>
      <xdr:row>59</xdr:row>
      <xdr:rowOff>0</xdr:rowOff>
    </xdr:from>
    <xdr:to>
      <xdr:col>22</xdr:col>
      <xdr:colOff>66675</xdr:colOff>
      <xdr:row>70</xdr:row>
      <xdr:rowOff>123825</xdr:rowOff>
    </xdr:to>
    <xdr:sp macro="" textlink="">
      <xdr:nvSpPr>
        <xdr:cNvPr id="5" name="Имя "/>
        <xdr:cNvSpPr>
          <a:spLocks noGrp="1"/>
        </xdr:cNvSpPr>
      </xdr:nvSpPr>
      <xdr:spPr>
        <a:xfrm>
          <a:off x="257175" y="9401175"/>
          <a:ext cx="2914650" cy="1695450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27</xdr:col>
      <xdr:colOff>66675</xdr:colOff>
      <xdr:row>32</xdr:row>
      <xdr:rowOff>66675</xdr:rowOff>
    </xdr:from>
    <xdr:to>
      <xdr:col>36</xdr:col>
      <xdr:colOff>47625</xdr:colOff>
      <xdr:row>34</xdr:row>
      <xdr:rowOff>1905</xdr:rowOff>
    </xdr:to>
    <xdr:sp macro="" textlink="">
      <xdr:nvSpPr>
        <xdr:cNvPr id="6" name="Имя "/>
        <xdr:cNvSpPr>
          <a:spLocks noGrp="1"/>
        </xdr:cNvSpPr>
      </xdr:nvSpPr>
      <xdr:spPr>
        <a:xfrm>
          <a:off x="0" y="0"/>
          <a:ext cx="5038725" cy="247650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28575</xdr:colOff>
      <xdr:row>22</xdr:row>
      <xdr:rowOff>0</xdr:rowOff>
    </xdr:from>
    <xdr:to>
      <xdr:col>44</xdr:col>
      <xdr:colOff>333375</xdr:colOff>
      <xdr:row>23</xdr:row>
      <xdr:rowOff>9525</xdr:rowOff>
    </xdr:to>
    <xdr:sp macro="" textlink="">
      <xdr:nvSpPr>
        <xdr:cNvPr id="2" name="Имя "/>
        <xdr:cNvSpPr>
          <a:spLocks noGrp="1"/>
        </xdr:cNvSpPr>
      </xdr:nvSpPr>
      <xdr:spPr>
        <a:xfrm>
          <a:off x="0" y="0"/>
          <a:ext cx="4800600" cy="200025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91</xdr:col>
      <xdr:colOff>19050</xdr:colOff>
      <xdr:row>22</xdr:row>
      <xdr:rowOff>0</xdr:rowOff>
    </xdr:from>
    <xdr:to>
      <xdr:col>92</xdr:col>
      <xdr:colOff>495300</xdr:colOff>
      <xdr:row>23</xdr:row>
      <xdr:rowOff>9525</xdr:rowOff>
    </xdr:to>
    <xdr:sp macro="" textlink="">
      <xdr:nvSpPr>
        <xdr:cNvPr id="3" name="Имя "/>
        <xdr:cNvSpPr>
          <a:spLocks noGrp="1"/>
        </xdr:cNvSpPr>
      </xdr:nvSpPr>
      <xdr:spPr>
        <a:xfrm>
          <a:off x="0" y="0"/>
          <a:ext cx="1038225" cy="200025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27</xdr:col>
      <xdr:colOff>66675</xdr:colOff>
      <xdr:row>40</xdr:row>
      <xdr:rowOff>85725</xdr:rowOff>
    </xdr:from>
    <xdr:to>
      <xdr:col>36</xdr:col>
      <xdr:colOff>47625</xdr:colOff>
      <xdr:row>42</xdr:row>
      <xdr:rowOff>0</xdr:rowOff>
    </xdr:to>
    <xdr:sp macro="" textlink="">
      <xdr:nvSpPr>
        <xdr:cNvPr id="4" name="Имя "/>
        <xdr:cNvSpPr>
          <a:spLocks noGrp="1"/>
        </xdr:cNvSpPr>
      </xdr:nvSpPr>
      <xdr:spPr>
        <a:xfrm>
          <a:off x="0" y="0"/>
          <a:ext cx="5038725" cy="295275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</xdr:col>
      <xdr:colOff>152400</xdr:colOff>
      <xdr:row>59</xdr:row>
      <xdr:rowOff>0</xdr:rowOff>
    </xdr:from>
    <xdr:to>
      <xdr:col>22</xdr:col>
      <xdr:colOff>66675</xdr:colOff>
      <xdr:row>70</xdr:row>
      <xdr:rowOff>123825</xdr:rowOff>
    </xdr:to>
    <xdr:sp macro="" textlink="">
      <xdr:nvSpPr>
        <xdr:cNvPr id="5" name="Имя "/>
        <xdr:cNvSpPr>
          <a:spLocks noGrp="1"/>
        </xdr:cNvSpPr>
      </xdr:nvSpPr>
      <xdr:spPr>
        <a:xfrm>
          <a:off x="257175" y="9401175"/>
          <a:ext cx="2914650" cy="1695450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  <xdr:twoCellAnchor editAs="oneCell">
    <xdr:from>
      <xdr:col>27</xdr:col>
      <xdr:colOff>66675</xdr:colOff>
      <xdr:row>32</xdr:row>
      <xdr:rowOff>66675</xdr:rowOff>
    </xdr:from>
    <xdr:to>
      <xdr:col>36</xdr:col>
      <xdr:colOff>47625</xdr:colOff>
      <xdr:row>34</xdr:row>
      <xdr:rowOff>1905</xdr:rowOff>
    </xdr:to>
    <xdr:sp macro="" textlink="">
      <xdr:nvSpPr>
        <xdr:cNvPr id="6" name="Имя "/>
        <xdr:cNvSpPr>
          <a:spLocks noGrp="1"/>
        </xdr:cNvSpPr>
      </xdr:nvSpPr>
      <xdr:spPr>
        <a:xfrm>
          <a:off x="0" y="0"/>
          <a:ext cx="5038725" cy="247650"/>
        </a:xfrm>
        <a:prstGeom prst="rect">
          <a:avLst/>
        </a:prstGeom>
        <a:solidFill>
          <a:srgbClr val="FFFFFF"/>
        </a:solidFill>
        <a:ln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T47"/>
  <sheetViews>
    <sheetView tabSelected="1" workbookViewId="0">
      <selection activeCell="CP12" sqref="CP12"/>
    </sheetView>
  </sheetViews>
  <sheetFormatPr defaultColWidth="10.42578125" defaultRowHeight="10.199999999999999" x14ac:dyDescent="0.2"/>
  <cols>
    <col min="1" max="1" width="1.140625" style="1" customWidth="1"/>
    <col min="2" max="2" width="0.7109375" style="1" customWidth="1"/>
    <col min="3" max="3" width="7.7109375" style="1" customWidth="1"/>
    <col min="4" max="4" width="3.42578125" style="1" customWidth="1"/>
    <col min="5" max="5" width="3.140625" style="1" customWidth="1"/>
    <col min="6" max="6" width="0.7109375" style="1" customWidth="1"/>
    <col min="7" max="7" width="0.42578125" style="1" customWidth="1"/>
    <col min="8" max="8" width="3.42578125" style="1" customWidth="1"/>
    <col min="9" max="9" width="5.85546875" style="1" customWidth="1"/>
    <col min="10" max="10" width="2.28515625" style="1" customWidth="1"/>
    <col min="11" max="11" width="0.28515625" style="1" customWidth="1"/>
    <col min="12" max="12" width="2" style="1" customWidth="1"/>
    <col min="13" max="13" width="1.85546875" style="1" customWidth="1"/>
    <col min="14" max="14" width="3.42578125" style="1" customWidth="1"/>
    <col min="15" max="15" width="3" style="1" customWidth="1"/>
    <col min="16" max="16" width="1.85546875" style="1" customWidth="1"/>
    <col min="17" max="17" width="2.28515625" style="1" customWidth="1"/>
    <col min="18" max="18" width="2.42578125" style="1" customWidth="1"/>
    <col min="19" max="19" width="0.140625" style="1" customWidth="1"/>
    <col min="20" max="20" width="5.42578125" style="1" customWidth="1"/>
    <col min="21" max="21" width="3" style="1" customWidth="1"/>
    <col min="22" max="22" width="0.7109375" style="1" customWidth="1"/>
    <col min="23" max="23" width="4.140625" style="1" customWidth="1"/>
    <col min="24" max="24" width="1.42578125" style="1" customWidth="1"/>
    <col min="25" max="25" width="7.7109375" style="1" customWidth="1"/>
    <col min="26" max="26" width="2" style="1" customWidth="1"/>
    <col min="27" max="27" width="0.28515625" style="1" customWidth="1"/>
    <col min="28" max="28" width="6.85546875" style="1" customWidth="1"/>
    <col min="29" max="29" width="0.7109375" style="1" customWidth="1"/>
    <col min="30" max="30" width="1.7109375" style="1" customWidth="1"/>
    <col min="31" max="31" width="0.28515625" style="1" customWidth="1"/>
    <col min="32" max="32" width="1.140625" style="1" customWidth="1"/>
    <col min="33" max="34" width="0.28515625" style="1" customWidth="1"/>
    <col min="35" max="35" width="0.85546875" style="1" customWidth="1"/>
    <col min="36" max="36" width="0.28515625" style="1" customWidth="1"/>
    <col min="37" max="37" width="2.7109375" style="1" customWidth="1"/>
    <col min="38" max="38" width="0.28515625" style="1" customWidth="1"/>
    <col min="39" max="39" width="0.140625" style="1" customWidth="1"/>
    <col min="40" max="41" width="2.28515625" style="1" customWidth="1"/>
    <col min="42" max="42" width="3.85546875" style="1" customWidth="1"/>
    <col min="43" max="43" width="1.85546875" style="1" customWidth="1"/>
    <col min="44" max="44" width="0.140625" style="1" customWidth="1"/>
    <col min="45" max="45" width="11.42578125" style="1" customWidth="1"/>
    <col min="46" max="47" width="1.85546875" style="1" customWidth="1"/>
    <col min="48" max="48" width="2.7109375" style="1" customWidth="1"/>
    <col min="49" max="49" width="0.28515625" style="2" customWidth="1"/>
    <col min="50" max="50" width="3.85546875" style="2" customWidth="1"/>
    <col min="51" max="52" width="1.85546875" style="1" customWidth="1"/>
    <col min="53" max="53" width="0.28515625" style="1" customWidth="1"/>
    <col min="54" max="54" width="2.7109375" style="1" customWidth="1"/>
    <col min="55" max="55" width="3.85546875" style="1" customWidth="1"/>
    <col min="56" max="57" width="1.140625" style="1" customWidth="1"/>
    <col min="58" max="58" width="0.85546875" style="1" customWidth="1"/>
    <col min="59" max="59" width="3.42578125" style="1" customWidth="1"/>
    <col min="60" max="60" width="0.42578125" style="1" customWidth="1"/>
    <col min="61" max="61" width="0.7109375" style="1" customWidth="1"/>
    <col min="62" max="62" width="0.42578125" style="1" customWidth="1"/>
    <col min="63" max="63" width="4.85546875" style="1" customWidth="1"/>
    <col min="64" max="64" width="1" style="1" customWidth="1"/>
    <col min="65" max="65" width="10.7109375" style="1" customWidth="1"/>
    <col min="66" max="66" width="3.140625" style="1" customWidth="1"/>
    <col min="67" max="67" width="1.28515625" style="1" customWidth="1"/>
    <col min="68" max="68" width="0.42578125" style="1" customWidth="1"/>
    <col min="69" max="69" width="6" style="1" customWidth="1"/>
    <col min="70" max="70" width="4.140625" style="1" customWidth="1"/>
    <col min="71" max="71" width="2.85546875" style="1" customWidth="1"/>
    <col min="72" max="73" width="2.28515625" style="1" customWidth="1"/>
    <col min="74" max="74" width="4.140625" style="1" customWidth="1"/>
    <col min="75" max="75" width="2.85546875" style="1" customWidth="1"/>
    <col min="76" max="76" width="1.42578125" style="1" customWidth="1"/>
    <col min="77" max="77" width="0.28515625" style="1" customWidth="1"/>
    <col min="78" max="78" width="0.140625" style="1" customWidth="1"/>
    <col min="79" max="79" width="1.85546875" style="1" customWidth="1"/>
    <col min="80" max="80" width="3.85546875" style="1" customWidth="1"/>
    <col min="81" max="81" width="1.42578125" style="1" customWidth="1"/>
    <col min="82" max="82" width="14.7109375" style="1" customWidth="1"/>
    <col min="83" max="83" width="8.140625" style="1" customWidth="1"/>
    <col min="84" max="84" width="0.7109375" style="3" customWidth="1"/>
    <col min="85" max="85" width="3" style="3" customWidth="1"/>
    <col min="86" max="86" width="0.42578125" style="3" customWidth="1"/>
    <col min="87" max="87" width="0.140625" style="1" customWidth="1"/>
    <col min="88" max="88" width="0.28515625" style="1" customWidth="1"/>
    <col min="89" max="89" width="0.140625" style="1" customWidth="1"/>
    <col min="90" max="90" width="10.28515625" style="1" customWidth="1"/>
    <col min="91" max="92" width="10.42578125" style="1" customWidth="1"/>
  </cols>
  <sheetData>
    <row r="1" spans="2:176" s="4" customFormat="1" ht="16.8" customHeight="1" x14ac:dyDescent="0.2">
      <c r="B1" s="111" t="s">
        <v>0</v>
      </c>
      <c r="C1" s="111"/>
      <c r="D1" s="111"/>
      <c r="E1" s="111"/>
      <c r="F1" s="7"/>
      <c r="G1" s="8"/>
      <c r="H1" s="103" t="s">
        <v>1</v>
      </c>
      <c r="I1" s="103"/>
      <c r="J1" s="103"/>
      <c r="K1" s="103"/>
      <c r="L1" s="103"/>
      <c r="M1" s="103"/>
      <c r="N1" s="103"/>
      <c r="O1" s="112" t="s">
        <v>114</v>
      </c>
      <c r="P1" s="112"/>
      <c r="Q1" s="112"/>
      <c r="R1" s="112"/>
      <c r="S1" s="112"/>
      <c r="T1" s="112"/>
      <c r="U1" s="112"/>
      <c r="V1" s="110" t="s">
        <v>2</v>
      </c>
      <c r="W1" s="110"/>
      <c r="X1" s="112" t="s">
        <v>115</v>
      </c>
      <c r="Y1" s="112"/>
      <c r="Z1" s="112"/>
      <c r="AA1" s="112"/>
      <c r="AB1" s="112"/>
      <c r="AC1" s="112"/>
      <c r="AD1" s="112"/>
      <c r="AE1" s="112"/>
      <c r="AF1" s="112"/>
      <c r="AG1" s="112"/>
      <c r="AH1" s="108" t="s">
        <v>3</v>
      </c>
      <c r="AI1" s="108"/>
      <c r="AJ1" s="108"/>
      <c r="AK1" s="108"/>
      <c r="AL1" s="10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113" t="s">
        <v>4</v>
      </c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8"/>
      <c r="CJ1" s="8"/>
      <c r="CK1" s="8"/>
    </row>
    <row r="2" spans="2:176" s="4" customFormat="1" ht="15.6" customHeight="1" x14ac:dyDescent="0.2">
      <c r="B2" s="111"/>
      <c r="C2" s="111"/>
      <c r="D2" s="111"/>
      <c r="E2" s="111"/>
      <c r="F2" s="7"/>
      <c r="G2" s="8"/>
      <c r="H2" s="103" t="s">
        <v>5</v>
      </c>
      <c r="I2" s="103"/>
      <c r="J2" s="103"/>
      <c r="K2" s="103"/>
      <c r="L2" s="103"/>
      <c r="M2" s="103"/>
      <c r="N2" s="103"/>
      <c r="O2" s="112" t="s">
        <v>6</v>
      </c>
      <c r="P2" s="112"/>
      <c r="Q2" s="112"/>
      <c r="R2" s="112"/>
      <c r="S2" s="112"/>
      <c r="T2" s="112"/>
      <c r="U2" s="112"/>
      <c r="V2" s="9" t="s">
        <v>2</v>
      </c>
      <c r="W2" s="9"/>
      <c r="X2" s="10" t="s">
        <v>6</v>
      </c>
      <c r="Y2" s="10"/>
      <c r="Z2" s="10"/>
      <c r="AA2" s="10"/>
      <c r="AB2" s="10"/>
      <c r="AC2" s="10"/>
      <c r="AD2" s="10"/>
      <c r="AE2" s="10"/>
      <c r="AF2" s="10"/>
      <c r="AG2" s="10"/>
      <c r="AH2" s="108" t="s">
        <v>7</v>
      </c>
      <c r="AI2" s="108"/>
      <c r="AJ2" s="108"/>
      <c r="AK2" s="108"/>
      <c r="AL2" s="10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4"/>
      <c r="BU2" s="114"/>
      <c r="BV2" s="114"/>
      <c r="BW2" s="114"/>
      <c r="BX2" s="114"/>
      <c r="BY2" s="114"/>
      <c r="BZ2" s="114"/>
      <c r="CA2" s="114"/>
      <c r="CB2" s="114"/>
      <c r="CC2" s="114"/>
      <c r="CD2" s="114"/>
      <c r="CE2" s="114"/>
      <c r="CF2" s="114"/>
      <c r="CG2" s="114"/>
      <c r="CH2" s="114"/>
      <c r="CI2" s="8"/>
      <c r="CJ2" s="8"/>
      <c r="CK2" s="8"/>
    </row>
    <row r="3" spans="2:176" s="4" customFormat="1" ht="4.05" customHeight="1" x14ac:dyDescent="0.2">
      <c r="B3" s="111"/>
      <c r="C3" s="111"/>
      <c r="D3" s="111"/>
      <c r="E3" s="111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4"/>
      <c r="BV3" s="114"/>
      <c r="BW3" s="114"/>
      <c r="BX3" s="114"/>
      <c r="BY3" s="114"/>
      <c r="BZ3" s="114"/>
      <c r="CA3" s="114"/>
      <c r="CB3" s="114"/>
      <c r="CC3" s="114"/>
      <c r="CD3" s="114"/>
      <c r="CE3" s="114"/>
      <c r="CF3" s="114"/>
      <c r="CG3" s="114"/>
      <c r="CH3" s="114"/>
      <c r="CI3" s="8"/>
      <c r="CJ3" s="8"/>
      <c r="CK3" s="8"/>
    </row>
    <row r="4" spans="2:176" s="4" customFormat="1" ht="15.15" customHeight="1" x14ac:dyDescent="0.2">
      <c r="B4" s="8"/>
      <c r="C4" s="8"/>
      <c r="D4" s="8"/>
      <c r="E4" s="8"/>
      <c r="F4" s="7"/>
      <c r="G4" s="117" t="s">
        <v>8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6" t="s">
        <v>116</v>
      </c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08" t="s">
        <v>9</v>
      </c>
      <c r="BH4" s="108"/>
      <c r="BI4" s="118" t="s">
        <v>10</v>
      </c>
      <c r="BJ4" s="118"/>
      <c r="BK4" s="118"/>
      <c r="BL4" s="118"/>
      <c r="BM4" s="118"/>
      <c r="BN4" s="118"/>
      <c r="BO4" s="118"/>
      <c r="BP4" s="11"/>
      <c r="BQ4" s="46" t="s">
        <v>117</v>
      </c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108" t="s">
        <v>11</v>
      </c>
      <c r="CH4" s="108"/>
      <c r="CI4" s="108"/>
      <c r="CJ4" s="8"/>
      <c r="CK4" s="8"/>
    </row>
    <row r="5" spans="2:176" s="4" customFormat="1" ht="23.25" customHeight="1" x14ac:dyDescent="0.2">
      <c r="B5" s="115" t="s">
        <v>12</v>
      </c>
      <c r="C5" s="115"/>
      <c r="D5" s="12">
        <v>1</v>
      </c>
      <c r="E5" s="13"/>
      <c r="F5" s="7"/>
      <c r="G5" s="109" t="s">
        <v>13</v>
      </c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16" t="s">
        <v>118</v>
      </c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08" t="s">
        <v>14</v>
      </c>
      <c r="BH5" s="108"/>
      <c r="BI5" s="109" t="s">
        <v>13</v>
      </c>
      <c r="BJ5" s="109"/>
      <c r="BK5" s="109"/>
      <c r="BL5" s="109"/>
      <c r="BM5" s="109"/>
      <c r="BN5" s="109"/>
      <c r="BO5" s="109"/>
      <c r="BP5" s="11"/>
      <c r="BQ5" s="47" t="s">
        <v>119</v>
      </c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108" t="s">
        <v>15</v>
      </c>
      <c r="CH5" s="108"/>
      <c r="CI5" s="108"/>
      <c r="CJ5" s="8"/>
      <c r="CK5" s="8"/>
    </row>
    <row r="6" spans="2:176" s="4" customFormat="1" ht="8.85" customHeight="1" x14ac:dyDescent="0.2">
      <c r="B6" s="8"/>
      <c r="C6" s="8"/>
      <c r="D6" s="8"/>
      <c r="E6" s="8"/>
      <c r="F6" s="7"/>
      <c r="G6" s="109" t="s">
        <v>16</v>
      </c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7" t="s">
        <v>120</v>
      </c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8" t="s">
        <v>17</v>
      </c>
      <c r="BH6" s="108"/>
      <c r="BI6" s="109" t="s">
        <v>18</v>
      </c>
      <c r="BJ6" s="109"/>
      <c r="BK6" s="109"/>
      <c r="BL6" s="109"/>
      <c r="BM6" s="109"/>
      <c r="BN6" s="109"/>
      <c r="BO6" s="109"/>
      <c r="BP6" s="11"/>
      <c r="BQ6" s="47" t="s">
        <v>121</v>
      </c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108" t="s">
        <v>19</v>
      </c>
      <c r="CH6" s="108"/>
      <c r="CI6" s="108"/>
      <c r="CJ6" s="8"/>
      <c r="CK6" s="8"/>
    </row>
    <row r="7" spans="2:176" s="4" customFormat="1" ht="8.85" customHeight="1" x14ac:dyDescent="0.2">
      <c r="B7" s="102" t="s">
        <v>20</v>
      </c>
      <c r="C7" s="102"/>
      <c r="D7" s="102"/>
      <c r="E7" s="102"/>
      <c r="F7" s="7"/>
      <c r="G7" s="103" t="s">
        <v>21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7" t="s">
        <v>122</v>
      </c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8" t="s">
        <v>22</v>
      </c>
      <c r="BH7" s="108"/>
      <c r="BI7" s="103" t="s">
        <v>23</v>
      </c>
      <c r="BJ7" s="103"/>
      <c r="BK7" s="103"/>
      <c r="BL7" s="103"/>
      <c r="BM7" s="103"/>
      <c r="BN7" s="103"/>
      <c r="BO7" s="103"/>
      <c r="BP7" s="11"/>
      <c r="BQ7" s="11"/>
      <c r="BR7" s="11"/>
      <c r="BS7" s="107" t="s">
        <v>123</v>
      </c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8" t="s">
        <v>24</v>
      </c>
      <c r="CH7" s="108"/>
      <c r="CI7" s="108"/>
      <c r="CJ7" s="8"/>
      <c r="CK7" s="8"/>
    </row>
    <row r="8" spans="2:176" s="4" customFormat="1" ht="8.85" customHeight="1" x14ac:dyDescent="0.2">
      <c r="B8" s="102"/>
      <c r="C8" s="102"/>
      <c r="D8" s="102"/>
      <c r="E8" s="102"/>
      <c r="F8" s="7"/>
      <c r="G8" s="103" t="s">
        <v>25</v>
      </c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7" t="s">
        <v>124</v>
      </c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8" t="s">
        <v>26</v>
      </c>
      <c r="BH8" s="108"/>
      <c r="BI8" s="111" t="s">
        <v>27</v>
      </c>
      <c r="BJ8" s="111"/>
      <c r="BK8" s="111"/>
      <c r="BL8" s="111"/>
      <c r="BM8" s="111"/>
      <c r="BN8" s="111"/>
      <c r="BO8" s="111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1"/>
      <c r="CF8" s="111"/>
      <c r="CG8" s="108" t="s">
        <v>28</v>
      </c>
      <c r="CH8" s="108"/>
      <c r="CI8" s="108"/>
      <c r="CJ8" s="8"/>
      <c r="CK8" s="8"/>
    </row>
    <row r="9" spans="2:176" s="4" customFormat="1" ht="8.85" customHeight="1" x14ac:dyDescent="0.2">
      <c r="B9" s="102"/>
      <c r="C9" s="102"/>
      <c r="D9" s="102"/>
      <c r="E9" s="102"/>
      <c r="F9" s="7"/>
      <c r="G9" s="103" t="s">
        <v>29</v>
      </c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7" t="s">
        <v>125</v>
      </c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10" t="s">
        <v>30</v>
      </c>
      <c r="BH9" s="110"/>
      <c r="BI9" s="111"/>
      <c r="BJ9" s="111"/>
      <c r="BK9" s="111"/>
      <c r="BL9" s="111"/>
      <c r="BM9" s="111"/>
      <c r="BN9" s="111"/>
      <c r="BO9" s="111"/>
      <c r="BP9" s="111"/>
      <c r="BQ9" s="111"/>
      <c r="BR9" s="111"/>
      <c r="BS9" s="111"/>
      <c r="BT9" s="111"/>
      <c r="BU9" s="111"/>
      <c r="BV9" s="111"/>
      <c r="BW9" s="111"/>
      <c r="BX9" s="111"/>
      <c r="BY9" s="107"/>
      <c r="BZ9" s="107"/>
      <c r="CA9" s="107"/>
      <c r="CB9" s="107"/>
      <c r="CC9" s="107"/>
      <c r="CD9" s="107"/>
      <c r="CE9" s="107"/>
      <c r="CF9" s="107"/>
      <c r="CG9" s="108"/>
      <c r="CH9" s="108"/>
      <c r="CI9" s="108"/>
      <c r="CJ9" s="8"/>
      <c r="CK9" s="8"/>
    </row>
    <row r="10" spans="2:176" s="4" customFormat="1" ht="8.85" customHeight="1" x14ac:dyDescent="0.2">
      <c r="B10" s="102"/>
      <c r="C10" s="102"/>
      <c r="D10" s="102"/>
      <c r="E10" s="102"/>
      <c r="F10" s="7"/>
      <c r="G10" s="103" t="s">
        <v>31</v>
      </c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7" t="s">
        <v>126</v>
      </c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10" t="s">
        <v>32</v>
      </c>
      <c r="BH10" s="110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</row>
    <row r="11" spans="2:176" s="5" customFormat="1" ht="3.15" customHeight="1" x14ac:dyDescent="0.2">
      <c r="B11" s="14"/>
      <c r="C11" s="14"/>
      <c r="D11" s="14"/>
      <c r="E11" s="1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</row>
    <row r="12" spans="2:176" s="1" customFormat="1" ht="65.55" customHeight="1" x14ac:dyDescent="0.2">
      <c r="B12" s="97" t="s">
        <v>33</v>
      </c>
      <c r="C12" s="97"/>
      <c r="D12" s="97"/>
      <c r="E12" s="97"/>
      <c r="F12" s="105" t="s">
        <v>34</v>
      </c>
      <c r="G12" s="105"/>
      <c r="H12" s="105"/>
      <c r="I12" s="100" t="s">
        <v>35</v>
      </c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 t="s">
        <v>36</v>
      </c>
      <c r="U12" s="100"/>
      <c r="V12" s="100"/>
      <c r="W12" s="94" t="s">
        <v>37</v>
      </c>
      <c r="X12" s="94"/>
      <c r="Y12" s="94"/>
      <c r="Z12" s="97" t="s">
        <v>38</v>
      </c>
      <c r="AA12" s="97"/>
      <c r="AB12" s="97"/>
      <c r="AC12" s="97" t="s">
        <v>39</v>
      </c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 t="s">
        <v>40</v>
      </c>
      <c r="AO12" s="97"/>
      <c r="AP12" s="97"/>
      <c r="AQ12" s="97"/>
      <c r="AR12" s="97"/>
      <c r="AS12" s="97" t="s">
        <v>41</v>
      </c>
      <c r="AT12" s="97" t="s">
        <v>42</v>
      </c>
      <c r="AU12" s="97"/>
      <c r="AV12" s="97"/>
      <c r="AW12" s="97" t="s">
        <v>43</v>
      </c>
      <c r="AX12" s="97"/>
      <c r="AY12" s="97"/>
      <c r="AZ12" s="97"/>
      <c r="BA12" s="97"/>
      <c r="BB12" s="100" t="s">
        <v>44</v>
      </c>
      <c r="BC12" s="100"/>
      <c r="BD12" s="100"/>
      <c r="BE12" s="100"/>
      <c r="BF12" s="100"/>
      <c r="BG12" s="100"/>
      <c r="BH12" s="100"/>
      <c r="BI12" s="100"/>
      <c r="BJ12" s="51" t="s">
        <v>45</v>
      </c>
      <c r="BK12" s="51"/>
      <c r="BL12" s="51"/>
      <c r="BM12" s="51"/>
      <c r="BN12" s="100" t="s">
        <v>46</v>
      </c>
      <c r="BO12" s="100"/>
      <c r="BP12" s="100"/>
      <c r="BQ12" s="100"/>
      <c r="BR12" s="100"/>
      <c r="BS12" s="100"/>
      <c r="BT12" s="96" t="s">
        <v>47</v>
      </c>
      <c r="BU12" s="96"/>
      <c r="BV12" s="96"/>
      <c r="BW12" s="96"/>
      <c r="BX12" s="96"/>
      <c r="BY12" s="96"/>
      <c r="BZ12" s="96"/>
      <c r="CA12" s="96"/>
      <c r="CB12" s="96"/>
      <c r="CC12" s="90" t="s">
        <v>48</v>
      </c>
      <c r="CD12" s="90"/>
      <c r="CE12" s="90" t="s">
        <v>49</v>
      </c>
      <c r="CF12" s="90"/>
      <c r="CG12" s="90"/>
      <c r="CH12" s="90"/>
      <c r="CI12" s="90"/>
      <c r="CJ12" s="90"/>
      <c r="CK12" s="90"/>
    </row>
    <row r="13" spans="2:176" s="1" customFormat="1" ht="65.55" customHeight="1" x14ac:dyDescent="0.2">
      <c r="B13" s="98"/>
      <c r="C13" s="99"/>
      <c r="D13" s="99"/>
      <c r="E13" s="99"/>
      <c r="F13" s="106"/>
      <c r="G13" s="99"/>
      <c r="H13" s="99"/>
      <c r="I13" s="98"/>
      <c r="J13" s="99"/>
      <c r="K13" s="99"/>
      <c r="L13" s="99"/>
      <c r="M13" s="99"/>
      <c r="N13" s="99"/>
      <c r="O13" s="99"/>
      <c r="P13" s="99"/>
      <c r="Q13" s="99"/>
      <c r="R13" s="99"/>
      <c r="S13" s="101"/>
      <c r="T13" s="98"/>
      <c r="U13" s="99"/>
      <c r="V13" s="101"/>
      <c r="W13" s="15" t="s">
        <v>50</v>
      </c>
      <c r="X13" s="94" t="s">
        <v>51</v>
      </c>
      <c r="Y13" s="94"/>
      <c r="Z13" s="98"/>
      <c r="AA13" s="99"/>
      <c r="AB13" s="99"/>
      <c r="AC13" s="98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8"/>
      <c r="AO13" s="99"/>
      <c r="AP13" s="99"/>
      <c r="AQ13" s="99"/>
      <c r="AR13" s="99"/>
      <c r="AS13" s="98"/>
      <c r="AT13" s="98"/>
      <c r="AU13" s="99"/>
      <c r="AV13" s="99"/>
      <c r="AW13" s="98"/>
      <c r="AX13" s="99"/>
      <c r="AY13" s="99"/>
      <c r="AZ13" s="99"/>
      <c r="BA13" s="99"/>
      <c r="BB13" s="98"/>
      <c r="BC13" s="99"/>
      <c r="BD13" s="99"/>
      <c r="BE13" s="99"/>
      <c r="BF13" s="99"/>
      <c r="BG13" s="99"/>
      <c r="BH13" s="99"/>
      <c r="BI13" s="101"/>
      <c r="BJ13" s="95" t="s">
        <v>52</v>
      </c>
      <c r="BK13" s="95"/>
      <c r="BL13" s="95" t="s">
        <v>53</v>
      </c>
      <c r="BM13" s="95"/>
      <c r="BN13" s="98"/>
      <c r="BO13" s="99"/>
      <c r="BP13" s="99"/>
      <c r="BQ13" s="99"/>
      <c r="BR13" s="99"/>
      <c r="BS13" s="101"/>
      <c r="BT13" s="96" t="s">
        <v>50</v>
      </c>
      <c r="BU13" s="96"/>
      <c r="BV13" s="96" t="s">
        <v>54</v>
      </c>
      <c r="BW13" s="96"/>
      <c r="BX13" s="96"/>
      <c r="BY13" s="96"/>
      <c r="BZ13" s="96"/>
      <c r="CA13" s="96"/>
      <c r="CB13" s="96"/>
      <c r="CC13" s="91"/>
      <c r="CD13" s="93"/>
      <c r="CE13" s="91"/>
      <c r="CF13" s="92"/>
      <c r="CG13" s="92"/>
      <c r="CH13" s="92"/>
      <c r="CI13" s="92"/>
      <c r="CJ13" s="92"/>
      <c r="CK13" s="93"/>
    </row>
    <row r="14" spans="2:176" s="1" customFormat="1" ht="8.85" customHeight="1" x14ac:dyDescent="0.2">
      <c r="B14" s="86" t="s">
        <v>55</v>
      </c>
      <c r="C14" s="86"/>
      <c r="D14" s="86"/>
      <c r="E14" s="86"/>
      <c r="F14" s="87" t="s">
        <v>56</v>
      </c>
      <c r="G14" s="87"/>
      <c r="H14" s="87"/>
      <c r="I14" s="88" t="s">
        <v>57</v>
      </c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 t="s">
        <v>58</v>
      </c>
      <c r="U14" s="88"/>
      <c r="V14" s="88"/>
      <c r="W14" s="16" t="s">
        <v>59</v>
      </c>
      <c r="X14" s="86" t="s">
        <v>60</v>
      </c>
      <c r="Y14" s="86"/>
      <c r="Z14" s="86" t="s">
        <v>61</v>
      </c>
      <c r="AA14" s="86"/>
      <c r="AB14" s="86"/>
      <c r="AC14" s="86" t="s">
        <v>62</v>
      </c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 t="s">
        <v>63</v>
      </c>
      <c r="AO14" s="86"/>
      <c r="AP14" s="86"/>
      <c r="AQ14" s="86"/>
      <c r="AR14" s="86"/>
      <c r="AS14" s="16" t="s">
        <v>64</v>
      </c>
      <c r="AT14" s="86" t="s">
        <v>65</v>
      </c>
      <c r="AU14" s="86"/>
      <c r="AV14" s="86"/>
      <c r="AW14" s="86" t="s">
        <v>66</v>
      </c>
      <c r="AX14" s="86"/>
      <c r="AY14" s="86"/>
      <c r="AZ14" s="86"/>
      <c r="BA14" s="86"/>
      <c r="BB14" s="89" t="s">
        <v>67</v>
      </c>
      <c r="BC14" s="89"/>
      <c r="BD14" s="89"/>
      <c r="BE14" s="89"/>
      <c r="BF14" s="89"/>
      <c r="BG14" s="89"/>
      <c r="BH14" s="89"/>
      <c r="BI14" s="89"/>
      <c r="BJ14" s="86" t="s">
        <v>68</v>
      </c>
      <c r="BK14" s="86"/>
      <c r="BL14" s="86" t="s">
        <v>69</v>
      </c>
      <c r="BM14" s="86"/>
      <c r="BN14" s="89" t="s">
        <v>70</v>
      </c>
      <c r="BO14" s="89"/>
      <c r="BP14" s="89"/>
      <c r="BQ14" s="89"/>
      <c r="BR14" s="89"/>
      <c r="BS14" s="89"/>
      <c r="BT14" s="48" t="s">
        <v>71</v>
      </c>
      <c r="BU14" s="48"/>
      <c r="BV14" s="48" t="s">
        <v>72</v>
      </c>
      <c r="BW14" s="48"/>
      <c r="BX14" s="48"/>
      <c r="BY14" s="48"/>
      <c r="BZ14" s="48"/>
      <c r="CA14" s="48"/>
      <c r="CB14" s="48"/>
      <c r="CC14" s="48" t="s">
        <v>73</v>
      </c>
      <c r="CD14" s="48"/>
      <c r="CE14" s="48" t="s">
        <v>74</v>
      </c>
      <c r="CF14" s="48"/>
      <c r="CG14" s="48"/>
      <c r="CH14" s="48"/>
      <c r="CI14" s="48"/>
      <c r="CJ14" s="48"/>
      <c r="CK14" s="48"/>
    </row>
    <row r="15" spans="2:176" s="6" customFormat="1" ht="31.95" customHeight="1" x14ac:dyDescent="0.2">
      <c r="B15" s="17" t="s">
        <v>127</v>
      </c>
      <c r="C15" s="18"/>
      <c r="D15" s="18"/>
      <c r="E15" s="19"/>
      <c r="F15" s="49">
        <v>1</v>
      </c>
      <c r="G15" s="49"/>
      <c r="H15" s="49"/>
      <c r="I15" s="50" t="s">
        <v>128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43" t="s">
        <v>129</v>
      </c>
      <c r="U15" s="43"/>
      <c r="V15" s="43"/>
      <c r="W15" s="41">
        <v>166</v>
      </c>
      <c r="X15" s="51" t="s">
        <v>130</v>
      </c>
      <c r="Y15" s="51"/>
      <c r="Z15" s="52">
        <v>12.5</v>
      </c>
      <c r="AA15" s="53"/>
      <c r="AB15" s="54"/>
      <c r="AC15" s="55">
        <v>184</v>
      </c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>
        <f t="shared" ref="AN15:AN20" si="0">ROUND(Z15*AC15,2)</f>
        <v>2300</v>
      </c>
      <c r="AO15" s="56"/>
      <c r="AP15" s="56"/>
      <c r="AQ15" s="56"/>
      <c r="AR15" s="56"/>
      <c r="AS15" s="32" t="s">
        <v>131</v>
      </c>
      <c r="AT15" s="57">
        <v>0.1</v>
      </c>
      <c r="AU15" s="58"/>
      <c r="AV15" s="59"/>
      <c r="AW15" s="60">
        <f t="shared" ref="AW15:AW20" si="1">ROUND(AN15*AT15,2)</f>
        <v>230</v>
      </c>
      <c r="AX15" s="61"/>
      <c r="AY15" s="61"/>
      <c r="AZ15" s="61"/>
      <c r="BA15" s="61"/>
      <c r="BB15" s="42">
        <f>ROUND(AN15+AW15,2)</f>
        <v>2530</v>
      </c>
      <c r="BC15" s="42"/>
      <c r="BD15" s="42"/>
      <c r="BE15" s="42"/>
      <c r="BF15" s="42"/>
      <c r="BG15" s="42"/>
      <c r="BH15" s="42"/>
      <c r="BI15" s="42"/>
      <c r="BJ15" s="43">
        <v>643</v>
      </c>
      <c r="BK15" s="43"/>
      <c r="BL15" s="43" t="s">
        <v>132</v>
      </c>
      <c r="BM15" s="43"/>
      <c r="BN15" s="43"/>
      <c r="BO15" s="43"/>
      <c r="BP15" s="43"/>
      <c r="BQ15" s="43"/>
      <c r="BR15" s="43"/>
      <c r="BS15" s="43"/>
      <c r="BT15" s="44"/>
      <c r="BU15" s="44"/>
      <c r="BV15" s="44"/>
      <c r="BW15" s="44"/>
      <c r="BX15" s="44"/>
      <c r="BY15" s="44"/>
      <c r="BZ15" s="44"/>
      <c r="CA15" s="44"/>
      <c r="CB15" s="44"/>
      <c r="CC15" s="45"/>
      <c r="CD15" s="45"/>
      <c r="CE15" s="45"/>
      <c r="CF15" s="45"/>
      <c r="CG15" s="45"/>
      <c r="CH15" s="45"/>
      <c r="CI15" s="45"/>
      <c r="CJ15" s="45"/>
      <c r="CK15" s="45"/>
      <c r="CL15" s="18"/>
      <c r="CM15" s="18"/>
      <c r="CN15" s="19"/>
      <c r="CO15" s="49"/>
      <c r="CP15" s="49"/>
      <c r="CQ15" s="49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20"/>
      <c r="DG15" s="43"/>
      <c r="DH15" s="43"/>
      <c r="DI15" s="62"/>
      <c r="DJ15" s="62"/>
      <c r="DK15" s="62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1"/>
      <c r="DX15" s="61"/>
      <c r="DY15" s="61"/>
      <c r="DZ15" s="61"/>
      <c r="EA15" s="61"/>
      <c r="EB15" s="21"/>
      <c r="EC15" s="43"/>
      <c r="ED15" s="43"/>
      <c r="EE15" s="43"/>
      <c r="EF15" s="61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4"/>
      <c r="FD15" s="44"/>
      <c r="FE15" s="44"/>
      <c r="FF15" s="44"/>
      <c r="FG15" s="44"/>
      <c r="FH15" s="44"/>
      <c r="FI15" s="44"/>
      <c r="FJ15" s="44"/>
      <c r="FK15" s="44"/>
      <c r="FL15" s="45"/>
      <c r="FM15" s="45"/>
      <c r="FN15" s="45"/>
      <c r="FO15" s="45"/>
      <c r="FP15" s="45"/>
      <c r="FQ15" s="45"/>
      <c r="FR15" s="45"/>
      <c r="FS15" s="45"/>
      <c r="FT15" s="45"/>
    </row>
    <row r="16" spans="2:176" s="6" customFormat="1" ht="31.95" customHeight="1" x14ac:dyDescent="0.2">
      <c r="B16" s="17" t="s">
        <v>133</v>
      </c>
      <c r="C16" s="18"/>
      <c r="D16" s="18"/>
      <c r="E16" s="19"/>
      <c r="F16" s="49">
        <v>2</v>
      </c>
      <c r="G16" s="49"/>
      <c r="H16" s="49"/>
      <c r="I16" s="50" t="s">
        <v>134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43" t="s">
        <v>129</v>
      </c>
      <c r="U16" s="43"/>
      <c r="V16" s="43"/>
      <c r="W16" s="41">
        <v>166</v>
      </c>
      <c r="X16" s="51" t="s">
        <v>130</v>
      </c>
      <c r="Y16" s="51"/>
      <c r="Z16" s="52">
        <v>10</v>
      </c>
      <c r="AA16" s="53"/>
      <c r="AB16" s="54"/>
      <c r="AC16" s="55">
        <v>160</v>
      </c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>
        <f t="shared" si="0"/>
        <v>1600</v>
      </c>
      <c r="AO16" s="56"/>
      <c r="AP16" s="56"/>
      <c r="AQ16" s="56"/>
      <c r="AR16" s="56"/>
      <c r="AS16" s="32" t="s">
        <v>131</v>
      </c>
      <c r="AT16" s="57">
        <v>0.1</v>
      </c>
      <c r="AU16" s="58"/>
      <c r="AV16" s="59"/>
      <c r="AW16" s="60">
        <f t="shared" si="1"/>
        <v>160</v>
      </c>
      <c r="AX16" s="61"/>
      <c r="AY16" s="61"/>
      <c r="AZ16" s="61"/>
      <c r="BA16" s="61"/>
      <c r="BB16" s="42">
        <f t="shared" ref="BB16:BB20" si="2">ROUND(AN16+AW16,2)</f>
        <v>1760</v>
      </c>
      <c r="BC16" s="42"/>
      <c r="BD16" s="42"/>
      <c r="BE16" s="42"/>
      <c r="BF16" s="42"/>
      <c r="BG16" s="42"/>
      <c r="BH16" s="42"/>
      <c r="BI16" s="42"/>
      <c r="BJ16" s="43">
        <v>643</v>
      </c>
      <c r="BK16" s="43"/>
      <c r="BL16" s="43" t="s">
        <v>132</v>
      </c>
      <c r="BM16" s="43"/>
      <c r="BN16" s="43"/>
      <c r="BO16" s="43"/>
      <c r="BP16" s="43"/>
      <c r="BQ16" s="43"/>
      <c r="BR16" s="43"/>
      <c r="BS16" s="43"/>
      <c r="BT16" s="44"/>
      <c r="BU16" s="44"/>
      <c r="BV16" s="44"/>
      <c r="BW16" s="44"/>
      <c r="BX16" s="44"/>
      <c r="BY16" s="44"/>
      <c r="BZ16" s="44"/>
      <c r="CA16" s="44"/>
      <c r="CB16" s="44"/>
      <c r="CC16" s="45"/>
      <c r="CD16" s="45"/>
      <c r="CE16" s="45"/>
      <c r="CF16" s="45"/>
      <c r="CG16" s="45"/>
      <c r="CH16" s="45"/>
      <c r="CI16" s="45"/>
      <c r="CJ16" s="45"/>
      <c r="CK16" s="45"/>
      <c r="CL16" s="33"/>
      <c r="CM16" s="33"/>
      <c r="CN16" s="33"/>
      <c r="CO16" s="34"/>
      <c r="CP16" s="34"/>
      <c r="CQ16" s="34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5"/>
      <c r="DJ16" s="35"/>
      <c r="DK16" s="35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7"/>
      <c r="DX16" s="37"/>
      <c r="DY16" s="37"/>
      <c r="DZ16" s="37"/>
      <c r="EA16" s="37"/>
      <c r="EB16" s="38"/>
      <c r="EC16" s="33"/>
      <c r="ED16" s="33"/>
      <c r="EE16" s="33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9"/>
      <c r="FD16" s="39"/>
      <c r="FE16" s="39"/>
      <c r="FF16" s="39"/>
      <c r="FG16" s="39"/>
      <c r="FH16" s="39"/>
      <c r="FI16" s="39"/>
      <c r="FJ16" s="39"/>
      <c r="FK16" s="39"/>
      <c r="FL16" s="40"/>
      <c r="FM16" s="40"/>
      <c r="FN16" s="40"/>
      <c r="FO16" s="40"/>
      <c r="FP16" s="40"/>
      <c r="FQ16" s="40"/>
      <c r="FR16" s="40"/>
      <c r="FS16" s="40"/>
      <c r="FT16" s="40"/>
    </row>
    <row r="17" spans="2:176" s="6" customFormat="1" ht="31.95" customHeight="1" x14ac:dyDescent="0.2">
      <c r="B17" s="17" t="s">
        <v>135</v>
      </c>
      <c r="C17" s="18"/>
      <c r="D17" s="18"/>
      <c r="E17" s="19"/>
      <c r="F17" s="49">
        <v>3</v>
      </c>
      <c r="G17" s="49"/>
      <c r="H17" s="49"/>
      <c r="I17" s="50" t="s">
        <v>136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43" t="s">
        <v>129</v>
      </c>
      <c r="U17" s="43"/>
      <c r="V17" s="43"/>
      <c r="W17" s="41">
        <v>166</v>
      </c>
      <c r="X17" s="51" t="s">
        <v>130</v>
      </c>
      <c r="Y17" s="51"/>
      <c r="Z17" s="52">
        <v>25</v>
      </c>
      <c r="AA17" s="53"/>
      <c r="AB17" s="54"/>
      <c r="AC17" s="55">
        <v>64</v>
      </c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>
        <f t="shared" si="0"/>
        <v>1600</v>
      </c>
      <c r="AO17" s="56"/>
      <c r="AP17" s="56"/>
      <c r="AQ17" s="56"/>
      <c r="AR17" s="56"/>
      <c r="AS17" s="32" t="s">
        <v>131</v>
      </c>
      <c r="AT17" s="57">
        <v>0.1</v>
      </c>
      <c r="AU17" s="58"/>
      <c r="AV17" s="59"/>
      <c r="AW17" s="60">
        <f t="shared" si="1"/>
        <v>160</v>
      </c>
      <c r="AX17" s="61"/>
      <c r="AY17" s="61"/>
      <c r="AZ17" s="61"/>
      <c r="BA17" s="61"/>
      <c r="BB17" s="42">
        <f t="shared" si="2"/>
        <v>1760</v>
      </c>
      <c r="BC17" s="42"/>
      <c r="BD17" s="42"/>
      <c r="BE17" s="42"/>
      <c r="BF17" s="42"/>
      <c r="BG17" s="42"/>
      <c r="BH17" s="42"/>
      <c r="BI17" s="42"/>
      <c r="BJ17" s="43">
        <v>643</v>
      </c>
      <c r="BK17" s="43"/>
      <c r="BL17" s="43" t="s">
        <v>132</v>
      </c>
      <c r="BM17" s="43"/>
      <c r="BN17" s="43"/>
      <c r="BO17" s="43"/>
      <c r="BP17" s="43"/>
      <c r="BQ17" s="43"/>
      <c r="BR17" s="43"/>
      <c r="BS17" s="43"/>
      <c r="BT17" s="44"/>
      <c r="BU17" s="44"/>
      <c r="BV17" s="44"/>
      <c r="BW17" s="44"/>
      <c r="BX17" s="44"/>
      <c r="BY17" s="44"/>
      <c r="BZ17" s="44"/>
      <c r="CA17" s="44"/>
      <c r="CB17" s="44"/>
      <c r="CC17" s="45"/>
      <c r="CD17" s="45"/>
      <c r="CE17" s="45"/>
      <c r="CF17" s="45"/>
      <c r="CG17" s="45"/>
      <c r="CH17" s="45"/>
      <c r="CI17" s="45"/>
      <c r="CJ17" s="45"/>
      <c r="CK17" s="45"/>
      <c r="CL17" s="33"/>
      <c r="CM17" s="33"/>
      <c r="CN17" s="33"/>
      <c r="CO17" s="34"/>
      <c r="CP17" s="34"/>
      <c r="CQ17" s="34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5"/>
      <c r="DJ17" s="35"/>
      <c r="DK17" s="35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7"/>
      <c r="DX17" s="37"/>
      <c r="DY17" s="37"/>
      <c r="DZ17" s="37"/>
      <c r="EA17" s="37"/>
      <c r="EB17" s="38"/>
      <c r="EC17" s="33"/>
      <c r="ED17" s="33"/>
      <c r="EE17" s="33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9"/>
      <c r="FD17" s="39"/>
      <c r="FE17" s="39"/>
      <c r="FF17" s="39"/>
      <c r="FG17" s="39"/>
      <c r="FH17" s="39"/>
      <c r="FI17" s="39"/>
      <c r="FJ17" s="39"/>
      <c r="FK17" s="39"/>
      <c r="FL17" s="40"/>
      <c r="FM17" s="40"/>
      <c r="FN17" s="40"/>
      <c r="FO17" s="40"/>
      <c r="FP17" s="40"/>
      <c r="FQ17" s="40"/>
      <c r="FR17" s="40"/>
      <c r="FS17" s="40"/>
      <c r="FT17" s="40"/>
    </row>
    <row r="18" spans="2:176" s="6" customFormat="1" ht="31.95" customHeight="1" x14ac:dyDescent="0.2">
      <c r="B18" s="17" t="s">
        <v>137</v>
      </c>
      <c r="C18" s="18"/>
      <c r="D18" s="18"/>
      <c r="E18" s="19"/>
      <c r="F18" s="49">
        <v>4</v>
      </c>
      <c r="G18" s="49"/>
      <c r="H18" s="49"/>
      <c r="I18" s="50" t="s">
        <v>138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43" t="s">
        <v>129</v>
      </c>
      <c r="U18" s="43"/>
      <c r="V18" s="43"/>
      <c r="W18" s="41">
        <v>166</v>
      </c>
      <c r="X18" s="51" t="s">
        <v>130</v>
      </c>
      <c r="Y18" s="51"/>
      <c r="Z18" s="52">
        <v>14</v>
      </c>
      <c r="AA18" s="53"/>
      <c r="AB18" s="54"/>
      <c r="AC18" s="55">
        <v>70</v>
      </c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>
        <f t="shared" si="0"/>
        <v>980</v>
      </c>
      <c r="AO18" s="56"/>
      <c r="AP18" s="56"/>
      <c r="AQ18" s="56"/>
      <c r="AR18" s="56"/>
      <c r="AS18" s="32" t="s">
        <v>131</v>
      </c>
      <c r="AT18" s="57">
        <v>0.1</v>
      </c>
      <c r="AU18" s="58"/>
      <c r="AV18" s="59"/>
      <c r="AW18" s="60">
        <f t="shared" si="1"/>
        <v>98</v>
      </c>
      <c r="AX18" s="61"/>
      <c r="AY18" s="61"/>
      <c r="AZ18" s="61"/>
      <c r="BA18" s="61"/>
      <c r="BB18" s="42">
        <f t="shared" si="2"/>
        <v>1078</v>
      </c>
      <c r="BC18" s="42"/>
      <c r="BD18" s="42"/>
      <c r="BE18" s="42"/>
      <c r="BF18" s="42"/>
      <c r="BG18" s="42"/>
      <c r="BH18" s="42"/>
      <c r="BI18" s="42"/>
      <c r="BJ18" s="43">
        <v>643</v>
      </c>
      <c r="BK18" s="43"/>
      <c r="BL18" s="43" t="s">
        <v>132</v>
      </c>
      <c r="BM18" s="43"/>
      <c r="BN18" s="43"/>
      <c r="BO18" s="43"/>
      <c r="BP18" s="43"/>
      <c r="BQ18" s="43"/>
      <c r="BR18" s="43"/>
      <c r="BS18" s="43"/>
      <c r="BT18" s="44"/>
      <c r="BU18" s="44"/>
      <c r="BV18" s="44"/>
      <c r="BW18" s="44"/>
      <c r="BX18" s="44"/>
      <c r="BY18" s="44"/>
      <c r="BZ18" s="44"/>
      <c r="CA18" s="44"/>
      <c r="CB18" s="44"/>
      <c r="CC18" s="45"/>
      <c r="CD18" s="45"/>
      <c r="CE18" s="45"/>
      <c r="CF18" s="45"/>
      <c r="CG18" s="45"/>
      <c r="CH18" s="45"/>
      <c r="CI18" s="45"/>
      <c r="CJ18" s="45"/>
      <c r="CK18" s="45"/>
      <c r="CL18" s="33"/>
      <c r="CM18" s="33"/>
      <c r="CN18" s="33"/>
      <c r="CO18" s="34"/>
      <c r="CP18" s="34"/>
      <c r="CQ18" s="34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5"/>
      <c r="DJ18" s="35"/>
      <c r="DK18" s="35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7"/>
      <c r="DX18" s="37"/>
      <c r="DY18" s="37"/>
      <c r="DZ18" s="37"/>
      <c r="EA18" s="37"/>
      <c r="EB18" s="38"/>
      <c r="EC18" s="33"/>
      <c r="ED18" s="33"/>
      <c r="EE18" s="33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9"/>
      <c r="FD18" s="39"/>
      <c r="FE18" s="39"/>
      <c r="FF18" s="39"/>
      <c r="FG18" s="39"/>
      <c r="FH18" s="39"/>
      <c r="FI18" s="39"/>
      <c r="FJ18" s="39"/>
      <c r="FK18" s="39"/>
      <c r="FL18" s="40"/>
      <c r="FM18" s="40"/>
      <c r="FN18" s="40"/>
      <c r="FO18" s="40"/>
      <c r="FP18" s="40"/>
      <c r="FQ18" s="40"/>
      <c r="FR18" s="40"/>
      <c r="FS18" s="40"/>
      <c r="FT18" s="40"/>
    </row>
    <row r="19" spans="2:176" s="6" customFormat="1" ht="31.95" customHeight="1" x14ac:dyDescent="0.2">
      <c r="B19" s="17" t="s">
        <v>139</v>
      </c>
      <c r="C19" s="18"/>
      <c r="D19" s="18"/>
      <c r="E19" s="19"/>
      <c r="F19" s="49">
        <v>5</v>
      </c>
      <c r="G19" s="49"/>
      <c r="H19" s="49"/>
      <c r="I19" s="50" t="s">
        <v>140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43" t="s">
        <v>129</v>
      </c>
      <c r="U19" s="43"/>
      <c r="V19" s="43"/>
      <c r="W19" s="41">
        <v>166</v>
      </c>
      <c r="X19" s="51" t="s">
        <v>130</v>
      </c>
      <c r="Y19" s="51"/>
      <c r="Z19" s="52">
        <v>12</v>
      </c>
      <c r="AA19" s="53"/>
      <c r="AB19" s="54"/>
      <c r="AC19" s="55">
        <v>60</v>
      </c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>
        <f t="shared" si="0"/>
        <v>720</v>
      </c>
      <c r="AO19" s="56"/>
      <c r="AP19" s="56"/>
      <c r="AQ19" s="56"/>
      <c r="AR19" s="56"/>
      <c r="AS19" s="32" t="s">
        <v>131</v>
      </c>
      <c r="AT19" s="57">
        <v>0.1</v>
      </c>
      <c r="AU19" s="58"/>
      <c r="AV19" s="59"/>
      <c r="AW19" s="60">
        <f t="shared" si="1"/>
        <v>72</v>
      </c>
      <c r="AX19" s="61"/>
      <c r="AY19" s="61"/>
      <c r="AZ19" s="61"/>
      <c r="BA19" s="61"/>
      <c r="BB19" s="42">
        <f t="shared" si="2"/>
        <v>792</v>
      </c>
      <c r="BC19" s="42"/>
      <c r="BD19" s="42"/>
      <c r="BE19" s="42"/>
      <c r="BF19" s="42"/>
      <c r="BG19" s="42"/>
      <c r="BH19" s="42"/>
      <c r="BI19" s="42"/>
      <c r="BJ19" s="43">
        <v>643</v>
      </c>
      <c r="BK19" s="43"/>
      <c r="BL19" s="43" t="s">
        <v>132</v>
      </c>
      <c r="BM19" s="43"/>
      <c r="BN19" s="43"/>
      <c r="BO19" s="43"/>
      <c r="BP19" s="43"/>
      <c r="BQ19" s="43"/>
      <c r="BR19" s="43"/>
      <c r="BS19" s="43"/>
      <c r="BT19" s="44"/>
      <c r="BU19" s="44"/>
      <c r="BV19" s="44"/>
      <c r="BW19" s="44"/>
      <c r="BX19" s="44"/>
      <c r="BY19" s="44"/>
      <c r="BZ19" s="44"/>
      <c r="CA19" s="44"/>
      <c r="CB19" s="44"/>
      <c r="CC19" s="45"/>
      <c r="CD19" s="45"/>
      <c r="CE19" s="45"/>
      <c r="CF19" s="45"/>
      <c r="CG19" s="45"/>
      <c r="CH19" s="45"/>
      <c r="CI19" s="45"/>
      <c r="CJ19" s="45"/>
      <c r="CK19" s="45"/>
      <c r="CL19" s="33"/>
      <c r="CM19" s="33"/>
      <c r="CN19" s="33"/>
      <c r="CO19" s="34"/>
      <c r="CP19" s="34"/>
      <c r="CQ19" s="34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5"/>
      <c r="DJ19" s="35"/>
      <c r="DK19" s="35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7"/>
      <c r="DX19" s="37"/>
      <c r="DY19" s="37"/>
      <c r="DZ19" s="37"/>
      <c r="EA19" s="37"/>
      <c r="EB19" s="38"/>
      <c r="EC19" s="33"/>
      <c r="ED19" s="33"/>
      <c r="EE19" s="33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9"/>
      <c r="FD19" s="39"/>
      <c r="FE19" s="39"/>
      <c r="FF19" s="39"/>
      <c r="FG19" s="39"/>
      <c r="FH19" s="39"/>
      <c r="FI19" s="39"/>
      <c r="FJ19" s="39"/>
      <c r="FK19" s="39"/>
      <c r="FL19" s="40"/>
      <c r="FM19" s="40"/>
      <c r="FN19" s="40"/>
      <c r="FO19" s="40"/>
      <c r="FP19" s="40"/>
      <c r="FQ19" s="40"/>
      <c r="FR19" s="40"/>
      <c r="FS19" s="40"/>
      <c r="FT19" s="40"/>
    </row>
    <row r="20" spans="2:176" s="6" customFormat="1" ht="31.95" customHeight="1" x14ac:dyDescent="0.2">
      <c r="B20" s="17" t="s">
        <v>141</v>
      </c>
      <c r="C20" s="18"/>
      <c r="D20" s="18"/>
      <c r="E20" s="19"/>
      <c r="F20" s="49">
        <v>6</v>
      </c>
      <c r="G20" s="49"/>
      <c r="H20" s="49"/>
      <c r="I20" s="50" t="s">
        <v>142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43" t="s">
        <v>129</v>
      </c>
      <c r="U20" s="43"/>
      <c r="V20" s="43"/>
      <c r="W20" s="41">
        <v>166</v>
      </c>
      <c r="X20" s="51" t="s">
        <v>130</v>
      </c>
      <c r="Y20" s="51"/>
      <c r="Z20" s="52">
        <v>2.5</v>
      </c>
      <c r="AA20" s="53"/>
      <c r="AB20" s="54"/>
      <c r="AC20" s="55">
        <v>492</v>
      </c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>
        <f t="shared" si="0"/>
        <v>1230</v>
      </c>
      <c r="AO20" s="56"/>
      <c r="AP20" s="56"/>
      <c r="AQ20" s="56"/>
      <c r="AR20" s="56"/>
      <c r="AS20" s="32" t="s">
        <v>131</v>
      </c>
      <c r="AT20" s="57">
        <v>0.1</v>
      </c>
      <c r="AU20" s="58"/>
      <c r="AV20" s="59"/>
      <c r="AW20" s="60">
        <f t="shared" si="1"/>
        <v>123</v>
      </c>
      <c r="AX20" s="61"/>
      <c r="AY20" s="61"/>
      <c r="AZ20" s="61"/>
      <c r="BA20" s="61"/>
      <c r="BB20" s="42">
        <f t="shared" si="2"/>
        <v>1353</v>
      </c>
      <c r="BC20" s="42"/>
      <c r="BD20" s="42"/>
      <c r="BE20" s="42"/>
      <c r="BF20" s="42"/>
      <c r="BG20" s="42"/>
      <c r="BH20" s="42"/>
      <c r="BI20" s="42"/>
      <c r="BJ20" s="43">
        <v>643</v>
      </c>
      <c r="BK20" s="43"/>
      <c r="BL20" s="43" t="s">
        <v>132</v>
      </c>
      <c r="BM20" s="43"/>
      <c r="BN20" s="43"/>
      <c r="BO20" s="43"/>
      <c r="BP20" s="43"/>
      <c r="BQ20" s="43"/>
      <c r="BR20" s="43"/>
      <c r="BS20" s="43"/>
      <c r="BT20" s="44"/>
      <c r="BU20" s="44"/>
      <c r="BV20" s="44"/>
      <c r="BW20" s="44"/>
      <c r="BX20" s="44"/>
      <c r="BY20" s="44"/>
      <c r="BZ20" s="44"/>
      <c r="CA20" s="44"/>
      <c r="CB20" s="44"/>
      <c r="CC20" s="45"/>
      <c r="CD20" s="45"/>
      <c r="CE20" s="45"/>
      <c r="CF20" s="45"/>
      <c r="CG20" s="45"/>
      <c r="CH20" s="45"/>
      <c r="CI20" s="45"/>
      <c r="CJ20" s="45"/>
      <c r="CK20" s="45"/>
      <c r="CL20" s="33"/>
      <c r="CM20" s="33"/>
      <c r="CN20" s="33"/>
      <c r="CO20" s="34"/>
      <c r="CP20" s="34"/>
      <c r="CQ20" s="34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5"/>
      <c r="DJ20" s="35"/>
      <c r="DK20" s="35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7"/>
      <c r="DX20" s="37"/>
      <c r="DY20" s="37"/>
      <c r="DZ20" s="37"/>
      <c r="EA20" s="37"/>
      <c r="EB20" s="38"/>
      <c r="EC20" s="33"/>
      <c r="ED20" s="33"/>
      <c r="EE20" s="33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9"/>
      <c r="FD20" s="39"/>
      <c r="FE20" s="39"/>
      <c r="FF20" s="39"/>
      <c r="FG20" s="39"/>
      <c r="FH20" s="39"/>
      <c r="FI20" s="39"/>
      <c r="FJ20" s="39"/>
      <c r="FK20" s="39"/>
      <c r="FL20" s="40"/>
      <c r="FM20" s="40"/>
      <c r="FN20" s="40"/>
      <c r="FO20" s="40"/>
      <c r="FP20" s="40"/>
      <c r="FQ20" s="40"/>
      <c r="FR20" s="40"/>
      <c r="FS20" s="40"/>
      <c r="FT20" s="40"/>
    </row>
    <row r="21" spans="2:176" s="1" customFormat="1" ht="8.85" customHeight="1" x14ac:dyDescent="0.2">
      <c r="B21" s="22"/>
      <c r="C21" s="23"/>
      <c r="D21" s="23"/>
      <c r="E21" s="24"/>
      <c r="F21" s="74" t="s">
        <v>75</v>
      </c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25"/>
      <c r="U21" s="25"/>
      <c r="V21" s="25"/>
      <c r="W21" s="25"/>
      <c r="X21" s="25"/>
      <c r="Y21" s="25"/>
      <c r="Z21" s="25"/>
      <c r="AA21" s="25"/>
      <c r="AB21" s="2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6">
        <f>SUM(AN15:AN20)</f>
        <v>8430</v>
      </c>
      <c r="AO21" s="77"/>
      <c r="AP21" s="77"/>
      <c r="AQ21" s="77"/>
      <c r="AR21" s="77"/>
      <c r="AS21" s="78" t="s">
        <v>76</v>
      </c>
      <c r="AT21" s="78"/>
      <c r="AU21" s="78"/>
      <c r="AV21" s="78"/>
      <c r="AW21" s="76">
        <f>SUM(AW15:AW20)</f>
        <v>843</v>
      </c>
      <c r="AX21" s="77"/>
      <c r="AY21" s="77"/>
      <c r="AZ21" s="77"/>
      <c r="BA21" s="77"/>
      <c r="BB21" s="76">
        <f>SUM(BB15:BB20)</f>
        <v>9273</v>
      </c>
      <c r="BC21" s="77"/>
      <c r="BD21" s="77"/>
      <c r="BE21" s="77"/>
      <c r="BF21" s="77"/>
      <c r="BG21" s="77"/>
      <c r="BH21" s="77"/>
      <c r="BI21" s="77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</row>
    <row r="22" spans="2:176" s="5" customFormat="1" ht="3.15" customHeight="1" x14ac:dyDescent="0.2">
      <c r="B22" s="14"/>
      <c r="C22" s="14"/>
      <c r="D22" s="14"/>
      <c r="E22" s="14"/>
      <c r="F22" s="26"/>
      <c r="G22" s="27"/>
      <c r="H22" s="27"/>
      <c r="I22" s="27"/>
      <c r="J22" s="26"/>
      <c r="K22" s="27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</row>
    <row r="23" spans="2:176" s="1" customFormat="1" ht="19.2" customHeight="1" x14ac:dyDescent="0.2">
      <c r="B23" s="80"/>
      <c r="C23" s="80"/>
      <c r="D23" s="80"/>
      <c r="E23" s="80"/>
      <c r="F23" s="26"/>
      <c r="G23" s="27"/>
      <c r="H23" s="27"/>
      <c r="I23" s="27"/>
      <c r="J23" s="26"/>
      <c r="K23" s="27"/>
      <c r="L23" s="81" t="s">
        <v>77</v>
      </c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28"/>
      <c r="Z23" s="28"/>
      <c r="AA23" s="28"/>
      <c r="AB23" s="28"/>
      <c r="AC23" s="28"/>
      <c r="AD23" s="28"/>
      <c r="AE23" s="28"/>
      <c r="AF23" s="28"/>
      <c r="AG23" s="27"/>
      <c r="AH23" s="27"/>
      <c r="AI23" s="27"/>
      <c r="AJ23" s="27"/>
      <c r="AK23" s="68" t="s">
        <v>143</v>
      </c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82" t="s">
        <v>78</v>
      </c>
      <c r="BL23" s="82"/>
      <c r="BM23" s="82"/>
      <c r="BN23" s="82"/>
      <c r="BO23" s="82"/>
      <c r="BP23" s="82"/>
      <c r="BQ23" s="82"/>
      <c r="BR23" s="28"/>
      <c r="BS23" s="28"/>
      <c r="BT23" s="28"/>
      <c r="BU23" s="28"/>
      <c r="BV23" s="28"/>
      <c r="BW23" s="28"/>
      <c r="BX23" s="28"/>
      <c r="BY23" s="28"/>
      <c r="BZ23" s="28"/>
      <c r="CA23" s="27"/>
      <c r="CB23" s="68" t="s">
        <v>144</v>
      </c>
      <c r="CC23" s="68"/>
      <c r="CD23" s="68"/>
      <c r="CE23" s="68"/>
      <c r="CF23" s="68"/>
      <c r="CG23" s="68"/>
      <c r="CH23" s="27"/>
      <c r="CI23" s="27"/>
      <c r="CJ23" s="27"/>
      <c r="CK23" s="27"/>
    </row>
    <row r="24" spans="2:176" s="1" customFormat="1" ht="11.4" customHeight="1" x14ac:dyDescent="0.2">
      <c r="B24" s="80"/>
      <c r="C24" s="80"/>
      <c r="D24" s="80"/>
      <c r="E24" s="80"/>
      <c r="F24" s="26"/>
      <c r="G24" s="27"/>
      <c r="H24" s="27"/>
      <c r="I24" s="27"/>
      <c r="J24" s="26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65" t="s">
        <v>79</v>
      </c>
      <c r="Z24" s="65"/>
      <c r="AA24" s="65"/>
      <c r="AB24" s="65"/>
      <c r="AC24" s="65"/>
      <c r="AD24" s="65"/>
      <c r="AE24" s="65"/>
      <c r="AF24" s="65"/>
      <c r="AG24" s="27"/>
      <c r="AH24" s="27"/>
      <c r="AI24" s="27"/>
      <c r="AJ24" s="27"/>
      <c r="AK24" s="65" t="s">
        <v>80</v>
      </c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65" t="s">
        <v>79</v>
      </c>
      <c r="BS24" s="65"/>
      <c r="BT24" s="65"/>
      <c r="BU24" s="65"/>
      <c r="BV24" s="65"/>
      <c r="BW24" s="65"/>
      <c r="BX24" s="65"/>
      <c r="BY24" s="65"/>
      <c r="BZ24" s="65"/>
      <c r="CA24" s="27"/>
      <c r="CB24" s="65" t="s">
        <v>80</v>
      </c>
      <c r="CC24" s="65"/>
      <c r="CD24" s="65"/>
      <c r="CE24" s="65"/>
      <c r="CF24" s="65"/>
      <c r="CG24" s="65"/>
      <c r="CH24" s="27"/>
      <c r="CI24" s="27"/>
      <c r="CJ24" s="27"/>
      <c r="CK24" s="27"/>
    </row>
    <row r="25" spans="2:176" s="1" customFormat="1" ht="10.8" customHeight="1" x14ac:dyDescent="0.2">
      <c r="B25" s="80"/>
      <c r="C25" s="80"/>
      <c r="D25" s="80"/>
      <c r="E25" s="80"/>
      <c r="F25" s="26"/>
      <c r="G25" s="27"/>
      <c r="H25" s="27"/>
      <c r="I25" s="27"/>
      <c r="J25" s="26"/>
      <c r="K25" s="27"/>
      <c r="L25" s="81" t="s">
        <v>81</v>
      </c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28"/>
      <c r="Z25" s="28"/>
      <c r="AA25" s="28"/>
      <c r="AB25" s="28"/>
      <c r="AC25" s="28"/>
      <c r="AD25" s="28"/>
      <c r="AE25" s="28"/>
      <c r="AF25" s="28"/>
      <c r="AG25" s="27"/>
      <c r="AH25" s="27"/>
      <c r="AI25" s="27"/>
      <c r="AJ25" s="27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27"/>
      <c r="CI25" s="27"/>
      <c r="CJ25" s="27"/>
      <c r="CK25" s="27"/>
    </row>
    <row r="26" spans="2:176" s="1" customFormat="1" ht="10.8" customHeight="1" x14ac:dyDescent="0.2">
      <c r="B26" s="80"/>
      <c r="C26" s="80"/>
      <c r="D26" s="80"/>
      <c r="E26" s="80"/>
      <c r="F26" s="29"/>
      <c r="G26" s="30"/>
      <c r="H26" s="30"/>
      <c r="I26" s="30"/>
      <c r="J26" s="29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73" t="s">
        <v>79</v>
      </c>
      <c r="Z26" s="73"/>
      <c r="AA26" s="73"/>
      <c r="AB26" s="73"/>
      <c r="AC26" s="73"/>
      <c r="AD26" s="73"/>
      <c r="AE26" s="73"/>
      <c r="AF26" s="73"/>
      <c r="AG26" s="30"/>
      <c r="AH26" s="30"/>
      <c r="AI26" s="30"/>
      <c r="AJ26" s="30"/>
      <c r="AK26" s="73" t="s">
        <v>80</v>
      </c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73" t="s">
        <v>82</v>
      </c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27"/>
      <c r="CI26" s="27"/>
      <c r="CJ26" s="27"/>
      <c r="CK26" s="27"/>
    </row>
    <row r="27" spans="2:176" s="5" customFormat="1" ht="3.15" customHeight="1" x14ac:dyDescent="0.2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3" t="s">
        <v>83</v>
      </c>
      <c r="CG27" s="83"/>
      <c r="CH27" s="83"/>
      <c r="CI27" s="14"/>
      <c r="CJ27" s="14"/>
      <c r="CK27" s="14"/>
    </row>
    <row r="28" spans="2:176" ht="8.85" customHeight="1" x14ac:dyDescent="0.2">
      <c r="B28" s="27"/>
      <c r="C28" s="67" t="s">
        <v>84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8" t="s">
        <v>145</v>
      </c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83"/>
      <c r="CG28" s="83"/>
      <c r="CH28" s="83"/>
      <c r="CI28" s="27"/>
      <c r="CJ28" s="27"/>
      <c r="CK28" s="27"/>
    </row>
    <row r="29" spans="2:176" s="5" customFormat="1" ht="5.55" customHeigh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65" t="s">
        <v>85</v>
      </c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83"/>
      <c r="CG29" s="83"/>
      <c r="CH29" s="83"/>
      <c r="CI29" s="14"/>
      <c r="CJ29" s="14"/>
      <c r="CK29" s="14"/>
    </row>
    <row r="30" spans="2:176" ht="8.85" customHeight="1" x14ac:dyDescent="0.2">
      <c r="B30" s="27"/>
      <c r="C30" s="84" t="s">
        <v>86</v>
      </c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72" t="s">
        <v>87</v>
      </c>
      <c r="CG30" s="72"/>
      <c r="CH30" s="72"/>
      <c r="CI30" s="27"/>
      <c r="CJ30" s="27"/>
      <c r="CK30" s="27"/>
    </row>
    <row r="31" spans="2:176" s="5" customFormat="1" ht="5.55" customHeight="1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65" t="s">
        <v>88</v>
      </c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72"/>
      <c r="CG31" s="72"/>
      <c r="CH31" s="72"/>
      <c r="CI31" s="14"/>
      <c r="CJ31" s="14"/>
      <c r="CK31" s="14"/>
    </row>
    <row r="32" spans="2:176" s="5" customFormat="1" ht="3.15" customHeight="1" x14ac:dyDescent="0.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</row>
    <row r="33" spans="2:89" ht="8.85" customHeight="1" x14ac:dyDescent="0.2">
      <c r="B33" s="27"/>
      <c r="C33" s="67" t="s">
        <v>89</v>
      </c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31"/>
      <c r="AX33" s="31"/>
      <c r="AY33" s="27"/>
      <c r="AZ33" s="27"/>
      <c r="BA33" s="27"/>
      <c r="BB33" s="27"/>
      <c r="BC33" s="27"/>
      <c r="BD33" s="27"/>
      <c r="BE33" s="26"/>
      <c r="BF33" s="67" t="s">
        <v>90</v>
      </c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31"/>
      <c r="CG33" s="31"/>
      <c r="CH33" s="31"/>
      <c r="CI33" s="27"/>
      <c r="CJ33" s="27"/>
      <c r="CK33" s="27"/>
    </row>
    <row r="34" spans="2:89" ht="8.85" customHeight="1" x14ac:dyDescent="0.2">
      <c r="B34" s="27"/>
      <c r="C34" s="28"/>
      <c r="D34" s="28"/>
      <c r="E34" s="28"/>
      <c r="F34" s="28"/>
      <c r="G34" s="28"/>
      <c r="H34" s="28"/>
      <c r="I34" s="28"/>
      <c r="J34" s="28"/>
      <c r="K34" s="27"/>
      <c r="L34" s="27"/>
      <c r="M34" s="27"/>
      <c r="N34" s="27"/>
      <c r="O34" s="27"/>
      <c r="P34" s="27"/>
      <c r="Q34" s="28"/>
      <c r="R34" s="28"/>
      <c r="S34" s="28"/>
      <c r="T34" s="2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27"/>
      <c r="AF34" s="27"/>
      <c r="AG34" s="27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64" t="s">
        <v>91</v>
      </c>
      <c r="AX34" s="64"/>
      <c r="AY34" s="27"/>
      <c r="AZ34" s="27"/>
      <c r="BA34" s="27"/>
      <c r="BB34" s="27"/>
      <c r="BC34" s="27"/>
      <c r="BD34" s="27"/>
      <c r="BE34" s="26"/>
      <c r="BF34" s="28"/>
      <c r="BG34" s="28"/>
      <c r="BH34" s="28"/>
      <c r="BI34" s="28"/>
      <c r="BJ34" s="28"/>
      <c r="BK34" s="28"/>
      <c r="BL34" s="28"/>
      <c r="BM34" s="28"/>
      <c r="BN34" s="28"/>
      <c r="BO34" s="27"/>
      <c r="BP34" s="27"/>
      <c r="BQ34" s="68"/>
      <c r="BR34" s="68"/>
      <c r="BS34" s="68"/>
      <c r="BT34" s="68"/>
      <c r="BU34" s="68"/>
      <c r="BV34" s="68"/>
      <c r="BW34" s="68"/>
      <c r="BX34" s="27"/>
      <c r="BY34" s="27"/>
      <c r="BZ34" s="28"/>
      <c r="CA34" s="28"/>
      <c r="CB34" s="28"/>
      <c r="CC34" s="28"/>
      <c r="CD34" s="28"/>
      <c r="CE34" s="28"/>
      <c r="CF34" s="64" t="s">
        <v>92</v>
      </c>
      <c r="CG34" s="64"/>
      <c r="CH34" s="64"/>
      <c r="CI34" s="27"/>
      <c r="CJ34" s="27"/>
      <c r="CK34" s="27"/>
    </row>
    <row r="35" spans="2:89" s="5" customFormat="1" ht="5.55" customHeight="1" x14ac:dyDescent="0.2">
      <c r="B35" s="14"/>
      <c r="C35" s="65" t="s">
        <v>93</v>
      </c>
      <c r="D35" s="65"/>
      <c r="E35" s="65"/>
      <c r="F35" s="65"/>
      <c r="G35" s="65"/>
      <c r="H35" s="65"/>
      <c r="I35" s="65"/>
      <c r="J35" s="65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65" t="s">
        <v>79</v>
      </c>
      <c r="V35" s="65"/>
      <c r="W35" s="65"/>
      <c r="X35" s="65"/>
      <c r="Y35" s="65"/>
      <c r="Z35" s="65"/>
      <c r="AA35" s="65"/>
      <c r="AB35" s="65"/>
      <c r="AC35" s="65"/>
      <c r="AD35" s="65"/>
      <c r="AE35" s="14"/>
      <c r="AF35" s="14"/>
      <c r="AG35" s="14"/>
      <c r="AH35" s="65" t="s">
        <v>80</v>
      </c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4"/>
      <c r="AX35" s="64"/>
      <c r="AY35" s="14"/>
      <c r="AZ35" s="14"/>
      <c r="BA35" s="14"/>
      <c r="BB35" s="14"/>
      <c r="BC35" s="14"/>
      <c r="BD35" s="14"/>
      <c r="BE35" s="26"/>
      <c r="BF35" s="65" t="s">
        <v>93</v>
      </c>
      <c r="BG35" s="65"/>
      <c r="BH35" s="65"/>
      <c r="BI35" s="65"/>
      <c r="BJ35" s="65"/>
      <c r="BK35" s="65"/>
      <c r="BL35" s="65"/>
      <c r="BM35" s="65"/>
      <c r="BN35" s="65"/>
      <c r="BO35" s="14"/>
      <c r="BP35" s="14"/>
      <c r="BQ35" s="65" t="s">
        <v>79</v>
      </c>
      <c r="BR35" s="65"/>
      <c r="BS35" s="65"/>
      <c r="BT35" s="65"/>
      <c r="BU35" s="65"/>
      <c r="BV35" s="65"/>
      <c r="BW35" s="65"/>
      <c r="BX35" s="14"/>
      <c r="BY35" s="14"/>
      <c r="BZ35" s="65" t="s">
        <v>80</v>
      </c>
      <c r="CA35" s="65"/>
      <c r="CB35" s="65"/>
      <c r="CC35" s="65"/>
      <c r="CD35" s="65"/>
      <c r="CE35" s="65"/>
      <c r="CF35" s="64"/>
      <c r="CG35" s="64"/>
      <c r="CH35" s="64"/>
      <c r="CI35" s="14"/>
      <c r="CJ35" s="14"/>
      <c r="CK35" s="14"/>
    </row>
    <row r="36" spans="2:89" ht="8.85" customHeight="1" x14ac:dyDescent="0.2">
      <c r="B36" s="27"/>
      <c r="C36" s="67" t="s">
        <v>94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70"/>
      <c r="X36" s="70"/>
      <c r="Y36" s="70"/>
      <c r="Z36" s="70"/>
      <c r="AA36" s="70"/>
      <c r="AB36" s="70"/>
      <c r="AC36" s="70"/>
      <c r="AD36" s="70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71" t="s">
        <v>95</v>
      </c>
      <c r="AX36" s="71"/>
      <c r="AY36" s="27"/>
      <c r="AZ36" s="27"/>
      <c r="BA36" s="27"/>
      <c r="BB36" s="27"/>
      <c r="BC36" s="27"/>
      <c r="BD36" s="27"/>
      <c r="BE36" s="26"/>
      <c r="BF36" s="67" t="s">
        <v>96</v>
      </c>
      <c r="BG36" s="67"/>
      <c r="BH36" s="67"/>
      <c r="BI36" s="67"/>
      <c r="BJ36" s="67"/>
      <c r="BK36" s="67"/>
      <c r="BL36" s="67"/>
      <c r="BM36" s="67"/>
      <c r="BN36" s="67"/>
      <c r="BO36" s="27"/>
      <c r="BP36" s="27"/>
      <c r="BQ36" s="70" t="s">
        <v>97</v>
      </c>
      <c r="BR36" s="70"/>
      <c r="BS36" s="70"/>
      <c r="BT36" s="70"/>
      <c r="BU36" s="70"/>
      <c r="BV36" s="70"/>
      <c r="BW36" s="70"/>
      <c r="BX36" s="27"/>
      <c r="BY36" s="27"/>
      <c r="BZ36" s="27"/>
      <c r="CA36" s="27"/>
      <c r="CB36" s="27"/>
      <c r="CC36" s="27"/>
      <c r="CD36" s="27"/>
      <c r="CE36" s="27"/>
      <c r="CF36" s="69" t="s">
        <v>98</v>
      </c>
      <c r="CG36" s="69"/>
      <c r="CH36" s="69"/>
      <c r="CI36" s="27"/>
      <c r="CJ36" s="27"/>
      <c r="CK36" s="27"/>
    </row>
    <row r="37" spans="2:89" s="5" customFormat="1" ht="3.15" customHeight="1" x14ac:dyDescent="0.2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26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</row>
    <row r="38" spans="2:89" ht="8.85" customHeight="1" x14ac:dyDescent="0.2">
      <c r="B38" s="27"/>
      <c r="C38" s="67" t="s">
        <v>99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31"/>
      <c r="AX38" s="31"/>
      <c r="AY38" s="27"/>
      <c r="AZ38" s="27"/>
      <c r="BA38" s="27"/>
      <c r="BB38" s="27"/>
      <c r="BC38" s="27"/>
      <c r="BD38" s="27"/>
      <c r="BE38" s="26"/>
      <c r="BF38" s="67" t="s">
        <v>100</v>
      </c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31"/>
      <c r="CG38" s="31"/>
      <c r="CH38" s="31"/>
      <c r="CI38" s="27"/>
      <c r="CJ38" s="27"/>
      <c r="CK38" s="27"/>
    </row>
    <row r="39" spans="2:89" ht="8.85" customHeight="1" x14ac:dyDescent="0.2">
      <c r="B39" s="27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4" t="s">
        <v>101</v>
      </c>
      <c r="AX39" s="64"/>
      <c r="AY39" s="27"/>
      <c r="AZ39" s="27"/>
      <c r="BA39" s="27"/>
      <c r="BB39" s="27"/>
      <c r="BC39" s="27"/>
      <c r="BD39" s="27"/>
      <c r="BE39" s="26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4" t="s">
        <v>102</v>
      </c>
      <c r="CG39" s="64"/>
      <c r="CH39" s="64"/>
      <c r="CI39" s="27"/>
      <c r="CJ39" s="27"/>
      <c r="CK39" s="27"/>
    </row>
    <row r="40" spans="2:89" s="5" customFormat="1" ht="5.55" customHeight="1" x14ac:dyDescent="0.2">
      <c r="B40" s="14"/>
      <c r="C40" s="65" t="s">
        <v>103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4"/>
      <c r="AX40" s="64"/>
      <c r="AY40" s="14"/>
      <c r="AZ40" s="14"/>
      <c r="BA40" s="14"/>
      <c r="BB40" s="14"/>
      <c r="BC40" s="14"/>
      <c r="BD40" s="14"/>
      <c r="BE40" s="26"/>
      <c r="BF40" s="65" t="s">
        <v>104</v>
      </c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4"/>
      <c r="CG40" s="64"/>
      <c r="CH40" s="64"/>
      <c r="CI40" s="14"/>
      <c r="CJ40" s="14"/>
      <c r="CK40" s="14"/>
    </row>
    <row r="41" spans="2:89" ht="8.85" customHeight="1" x14ac:dyDescent="0.2">
      <c r="B41" s="27"/>
      <c r="C41" s="67" t="s">
        <v>105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31"/>
      <c r="AX41" s="31"/>
      <c r="AY41" s="27"/>
      <c r="AZ41" s="27"/>
      <c r="BA41" s="27"/>
      <c r="BB41" s="27"/>
      <c r="BC41" s="27"/>
      <c r="BD41" s="27"/>
      <c r="BE41" s="26"/>
      <c r="BF41" s="67" t="s">
        <v>105</v>
      </c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31"/>
      <c r="CG41" s="31"/>
      <c r="CH41" s="31"/>
      <c r="CI41" s="27"/>
      <c r="CJ41" s="27"/>
      <c r="CK41" s="27"/>
    </row>
    <row r="42" spans="2:89" ht="8.85" customHeight="1" x14ac:dyDescent="0.2">
      <c r="B42" s="27"/>
      <c r="C42" s="68"/>
      <c r="D42" s="68"/>
      <c r="E42" s="68"/>
      <c r="F42" s="68"/>
      <c r="G42" s="68"/>
      <c r="H42" s="68"/>
      <c r="I42" s="68"/>
      <c r="J42" s="68"/>
      <c r="K42" s="27"/>
      <c r="L42" s="27"/>
      <c r="M42" s="27"/>
      <c r="N42" s="27"/>
      <c r="O42" s="27"/>
      <c r="P42" s="27"/>
      <c r="Q42" s="28"/>
      <c r="R42" s="28"/>
      <c r="S42" s="28"/>
      <c r="T42" s="2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27"/>
      <c r="AF42" s="27"/>
      <c r="AG42" s="27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4" t="s">
        <v>106</v>
      </c>
      <c r="AX42" s="64"/>
      <c r="AY42" s="27"/>
      <c r="AZ42" s="27"/>
      <c r="BA42" s="27"/>
      <c r="BB42" s="27"/>
      <c r="BC42" s="27"/>
      <c r="BD42" s="27"/>
      <c r="BE42" s="26"/>
      <c r="BF42" s="28"/>
      <c r="BG42" s="28"/>
      <c r="BH42" s="28"/>
      <c r="BI42" s="28"/>
      <c r="BJ42" s="28"/>
      <c r="BK42" s="28"/>
      <c r="BL42" s="28"/>
      <c r="BM42" s="28"/>
      <c r="BN42" s="28"/>
      <c r="BO42" s="27"/>
      <c r="BP42" s="27"/>
      <c r="BQ42" s="68"/>
      <c r="BR42" s="68"/>
      <c r="BS42" s="68"/>
      <c r="BT42" s="68"/>
      <c r="BU42" s="68"/>
      <c r="BV42" s="68"/>
      <c r="BW42" s="68"/>
      <c r="BX42" s="27"/>
      <c r="BY42" s="27"/>
      <c r="BZ42" s="28"/>
      <c r="CA42" s="28"/>
      <c r="CB42" s="28"/>
      <c r="CC42" s="28"/>
      <c r="CD42" s="28"/>
      <c r="CE42" s="28"/>
      <c r="CF42" s="64" t="s">
        <v>107</v>
      </c>
      <c r="CG42" s="64"/>
      <c r="CH42" s="64"/>
      <c r="CI42" s="27"/>
      <c r="CJ42" s="27"/>
      <c r="CK42" s="27"/>
    </row>
    <row r="43" spans="2:89" s="5" customFormat="1" ht="5.55" customHeight="1" x14ac:dyDescent="0.2">
      <c r="B43" s="14"/>
      <c r="C43" s="65" t="s">
        <v>93</v>
      </c>
      <c r="D43" s="65"/>
      <c r="E43" s="65"/>
      <c r="F43" s="65"/>
      <c r="G43" s="65"/>
      <c r="H43" s="65"/>
      <c r="I43" s="65"/>
      <c r="J43" s="65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65" t="s">
        <v>79</v>
      </c>
      <c r="V43" s="65"/>
      <c r="W43" s="65"/>
      <c r="X43" s="65"/>
      <c r="Y43" s="65"/>
      <c r="Z43" s="65"/>
      <c r="AA43" s="65"/>
      <c r="AB43" s="65"/>
      <c r="AC43" s="65"/>
      <c r="AD43" s="65"/>
      <c r="AE43" s="14"/>
      <c r="AF43" s="14"/>
      <c r="AG43" s="14"/>
      <c r="AH43" s="65" t="s">
        <v>80</v>
      </c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4"/>
      <c r="AX43" s="64"/>
      <c r="AY43" s="14"/>
      <c r="AZ43" s="14"/>
      <c r="BA43" s="14"/>
      <c r="BB43" s="14"/>
      <c r="BC43" s="14"/>
      <c r="BD43" s="14"/>
      <c r="BE43" s="26"/>
      <c r="BF43" s="65" t="s">
        <v>93</v>
      </c>
      <c r="BG43" s="65"/>
      <c r="BH43" s="65"/>
      <c r="BI43" s="65"/>
      <c r="BJ43" s="65"/>
      <c r="BK43" s="65"/>
      <c r="BL43" s="65"/>
      <c r="BM43" s="65"/>
      <c r="BN43" s="65"/>
      <c r="BO43" s="14"/>
      <c r="BP43" s="14"/>
      <c r="BQ43" s="65" t="s">
        <v>79</v>
      </c>
      <c r="BR43" s="65"/>
      <c r="BS43" s="65"/>
      <c r="BT43" s="65"/>
      <c r="BU43" s="65"/>
      <c r="BV43" s="65"/>
      <c r="BW43" s="65"/>
      <c r="BX43" s="14"/>
      <c r="BY43" s="14"/>
      <c r="BZ43" s="65" t="s">
        <v>80</v>
      </c>
      <c r="CA43" s="65"/>
      <c r="CB43" s="65"/>
      <c r="CC43" s="65"/>
      <c r="CD43" s="65"/>
      <c r="CE43" s="65"/>
      <c r="CF43" s="64"/>
      <c r="CG43" s="64"/>
      <c r="CH43" s="64"/>
      <c r="CI43" s="14"/>
      <c r="CJ43" s="14"/>
      <c r="CK43" s="14"/>
    </row>
    <row r="44" spans="2:89" ht="8.85" customHeight="1" x14ac:dyDescent="0.2">
      <c r="B44" s="27"/>
      <c r="C44" s="67" t="s">
        <v>108</v>
      </c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31"/>
      <c r="AX44" s="31"/>
      <c r="AY44" s="27"/>
      <c r="AZ44" s="27"/>
      <c r="BA44" s="27"/>
      <c r="BB44" s="27"/>
      <c r="BC44" s="27"/>
      <c r="BD44" s="27"/>
      <c r="BE44" s="26"/>
      <c r="BF44" s="67" t="s">
        <v>109</v>
      </c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31"/>
      <c r="CG44" s="31"/>
      <c r="CH44" s="31"/>
      <c r="CI44" s="27"/>
      <c r="CJ44" s="27"/>
      <c r="CK44" s="27"/>
    </row>
    <row r="45" spans="2:89" ht="18.45" customHeight="1" x14ac:dyDescent="0.2">
      <c r="B45" s="27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4" t="s">
        <v>110</v>
      </c>
      <c r="AX45" s="64"/>
      <c r="AY45" s="27"/>
      <c r="AZ45" s="27"/>
      <c r="BA45" s="27"/>
      <c r="BB45" s="27"/>
      <c r="BC45" s="27"/>
      <c r="BD45" s="27"/>
      <c r="BE45" s="26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4" t="s">
        <v>111</v>
      </c>
      <c r="CG45" s="64"/>
      <c r="CH45" s="64"/>
      <c r="CI45" s="27"/>
      <c r="CJ45" s="27"/>
      <c r="CK45" s="27"/>
    </row>
    <row r="46" spans="2:89" s="5" customFormat="1" ht="5.55" customHeight="1" x14ac:dyDescent="0.2">
      <c r="B46" s="14"/>
      <c r="C46" s="65" t="s">
        <v>112</v>
      </c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4"/>
      <c r="AX46" s="64"/>
      <c r="AY46" s="14"/>
      <c r="AZ46" s="14"/>
      <c r="BA46" s="14"/>
      <c r="BB46" s="14"/>
      <c r="BC46" s="14"/>
      <c r="BD46" s="14"/>
      <c r="BE46" s="26"/>
      <c r="BF46" s="65" t="s">
        <v>112</v>
      </c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4"/>
      <c r="CG46" s="64"/>
      <c r="CH46" s="64"/>
      <c r="CI46" s="14"/>
      <c r="CJ46" s="14"/>
      <c r="CK46" s="14"/>
    </row>
    <row r="47" spans="2:89" ht="8.85" customHeight="1" x14ac:dyDescent="0.2">
      <c r="B47" s="27"/>
      <c r="C47" s="66" t="s">
        <v>113</v>
      </c>
      <c r="D47" s="66"/>
      <c r="E47" s="66"/>
      <c r="F47" s="66"/>
      <c r="G47" s="66"/>
      <c r="H47" s="66"/>
      <c r="I47" s="66"/>
      <c r="J47" s="66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31"/>
      <c r="AX47" s="31"/>
      <c r="AY47" s="27"/>
      <c r="AZ47" s="27"/>
      <c r="BA47" s="27"/>
      <c r="BB47" s="27"/>
      <c r="BC47" s="27"/>
      <c r="BD47" s="27"/>
      <c r="BE47" s="26"/>
      <c r="BF47" s="66" t="s">
        <v>113</v>
      </c>
      <c r="BG47" s="66"/>
      <c r="BH47" s="66"/>
      <c r="BI47" s="66"/>
      <c r="BJ47" s="66"/>
      <c r="BK47" s="66"/>
      <c r="BL47" s="66"/>
      <c r="BM47" s="66"/>
      <c r="BN47" s="66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31"/>
      <c r="CG47" s="31"/>
      <c r="CH47" s="31"/>
      <c r="CI47" s="27"/>
      <c r="CJ47" s="27"/>
      <c r="CK47" s="27"/>
    </row>
  </sheetData>
  <mergeCells count="287">
    <mergeCell ref="CG5:CI5"/>
    <mergeCell ref="B1:E3"/>
    <mergeCell ref="H1:N1"/>
    <mergeCell ref="O1:U1"/>
    <mergeCell ref="V1:W1"/>
    <mergeCell ref="X1:AG1"/>
    <mergeCell ref="AH1:AL1"/>
    <mergeCell ref="BA1:CH3"/>
    <mergeCell ref="H2:N2"/>
    <mergeCell ref="O2:U2"/>
    <mergeCell ref="AH2:AL2"/>
    <mergeCell ref="B5:C5"/>
    <mergeCell ref="G5:R5"/>
    <mergeCell ref="S5:BF5"/>
    <mergeCell ref="BG5:BH5"/>
    <mergeCell ref="BI5:BO5"/>
    <mergeCell ref="G4:R4"/>
    <mergeCell ref="S4:BF4"/>
    <mergeCell ref="BG4:BH4"/>
    <mergeCell ref="BI4:BO4"/>
    <mergeCell ref="CG4:CI4"/>
    <mergeCell ref="CG7:CI7"/>
    <mergeCell ref="G6:R6"/>
    <mergeCell ref="S6:BF6"/>
    <mergeCell ref="BG6:BH6"/>
    <mergeCell ref="BI6:BO6"/>
    <mergeCell ref="CG6:CI6"/>
    <mergeCell ref="CG8:CI9"/>
    <mergeCell ref="G9:R9"/>
    <mergeCell ref="S9:BF9"/>
    <mergeCell ref="BG9:BH9"/>
    <mergeCell ref="G8:R8"/>
    <mergeCell ref="S8:BF8"/>
    <mergeCell ref="BG8:BH8"/>
    <mergeCell ref="BI8:BX9"/>
    <mergeCell ref="BY8:CF9"/>
    <mergeCell ref="B7:E10"/>
    <mergeCell ref="G7:R7"/>
    <mergeCell ref="BN12:BS13"/>
    <mergeCell ref="BT12:CB12"/>
    <mergeCell ref="CC12:CD13"/>
    <mergeCell ref="F11:S11"/>
    <mergeCell ref="B12:E13"/>
    <mergeCell ref="F12:H13"/>
    <mergeCell ref="I12:S13"/>
    <mergeCell ref="T12:V13"/>
    <mergeCell ref="W12:Y12"/>
    <mergeCell ref="Z12:AB13"/>
    <mergeCell ref="AC12:AM13"/>
    <mergeCell ref="AN12:AR13"/>
    <mergeCell ref="S7:BF7"/>
    <mergeCell ref="BG7:BH7"/>
    <mergeCell ref="BI7:BO7"/>
    <mergeCell ref="BS7:CF7"/>
    <mergeCell ref="G10:R10"/>
    <mergeCell ref="S10:BF10"/>
    <mergeCell ref="BG10:BH10"/>
    <mergeCell ref="BB14:BI14"/>
    <mergeCell ref="BJ14:BK14"/>
    <mergeCell ref="BL14:BM14"/>
    <mergeCell ref="BN14:BS14"/>
    <mergeCell ref="CE12:CK13"/>
    <mergeCell ref="X13:Y13"/>
    <mergeCell ref="BJ13:BK13"/>
    <mergeCell ref="BL13:BM13"/>
    <mergeCell ref="BT13:BU13"/>
    <mergeCell ref="BV13:CB13"/>
    <mergeCell ref="Z14:AB14"/>
    <mergeCell ref="AC14:AM14"/>
    <mergeCell ref="AN14:AR14"/>
    <mergeCell ref="AT14:AV14"/>
    <mergeCell ref="BJ12:BM12"/>
    <mergeCell ref="BT14:BU14"/>
    <mergeCell ref="AS12:AS13"/>
    <mergeCell ref="AT12:AV13"/>
    <mergeCell ref="AW12:BA13"/>
    <mergeCell ref="BB12:BI13"/>
    <mergeCell ref="AW15:BA15"/>
    <mergeCell ref="AW14:BA14"/>
    <mergeCell ref="F15:H15"/>
    <mergeCell ref="I15:S15"/>
    <mergeCell ref="T15:V15"/>
    <mergeCell ref="X15:Y15"/>
    <mergeCell ref="Z15:AB15"/>
    <mergeCell ref="B14:E14"/>
    <mergeCell ref="F14:H14"/>
    <mergeCell ref="I14:S14"/>
    <mergeCell ref="T14:V14"/>
    <mergeCell ref="X14:Y14"/>
    <mergeCell ref="BN15:BS15"/>
    <mergeCell ref="BT15:BU15"/>
    <mergeCell ref="BR24:BZ24"/>
    <mergeCell ref="CB24:CG24"/>
    <mergeCell ref="L25:X25"/>
    <mergeCell ref="BM25:CG25"/>
    <mergeCell ref="BB16:BI16"/>
    <mergeCell ref="BV16:CB16"/>
    <mergeCell ref="AC17:AM17"/>
    <mergeCell ref="AN17:AR17"/>
    <mergeCell ref="AT17:AV17"/>
    <mergeCell ref="AW17:BA17"/>
    <mergeCell ref="BV18:CB18"/>
    <mergeCell ref="CE18:CK18"/>
    <mergeCell ref="BB19:BI19"/>
    <mergeCell ref="BJ19:BK19"/>
    <mergeCell ref="BL19:BM19"/>
    <mergeCell ref="BN19:BS19"/>
    <mergeCell ref="BT19:BU19"/>
    <mergeCell ref="BV19:CB19"/>
    <mergeCell ref="CC19:CD19"/>
    <mergeCell ref="AC15:AM15"/>
    <mergeCell ref="AN15:AR15"/>
    <mergeCell ref="AT15:AV15"/>
    <mergeCell ref="Y26:AF26"/>
    <mergeCell ref="AK26:AW26"/>
    <mergeCell ref="BM26:CG26"/>
    <mergeCell ref="C33:AV33"/>
    <mergeCell ref="BF33:CE33"/>
    <mergeCell ref="F21:S21"/>
    <mergeCell ref="AC21:AM21"/>
    <mergeCell ref="AN21:AR21"/>
    <mergeCell ref="AS21:AV21"/>
    <mergeCell ref="AW21:BA21"/>
    <mergeCell ref="BB21:BI21"/>
    <mergeCell ref="BJ21:CK21"/>
    <mergeCell ref="B23:E26"/>
    <mergeCell ref="L23:X23"/>
    <mergeCell ref="AK23:AW23"/>
    <mergeCell ref="BK23:BQ23"/>
    <mergeCell ref="CB23:CG23"/>
    <mergeCell ref="Y24:AF24"/>
    <mergeCell ref="AK24:AW24"/>
    <mergeCell ref="AA27:CE28"/>
    <mergeCell ref="CF27:CH29"/>
    <mergeCell ref="C28:Z28"/>
    <mergeCell ref="AA29:CE29"/>
    <mergeCell ref="C30:V30"/>
    <mergeCell ref="W30:CE30"/>
    <mergeCell ref="CF30:CH31"/>
    <mergeCell ref="W31:CE31"/>
    <mergeCell ref="U34:AD34"/>
    <mergeCell ref="AW34:AX35"/>
    <mergeCell ref="BQ34:BW34"/>
    <mergeCell ref="CF34:CH35"/>
    <mergeCell ref="C35:J35"/>
    <mergeCell ref="U35:AD35"/>
    <mergeCell ref="AH35:AV35"/>
    <mergeCell ref="BF35:BN35"/>
    <mergeCell ref="BQ35:BW35"/>
    <mergeCell ref="BZ35:CE35"/>
    <mergeCell ref="CF36:CH36"/>
    <mergeCell ref="C38:AV38"/>
    <mergeCell ref="BF38:CE38"/>
    <mergeCell ref="C39:AV39"/>
    <mergeCell ref="AW39:AX40"/>
    <mergeCell ref="BF39:CE39"/>
    <mergeCell ref="CF39:CH40"/>
    <mergeCell ref="C40:AV40"/>
    <mergeCell ref="BF40:CE40"/>
    <mergeCell ref="C36:V36"/>
    <mergeCell ref="W36:AD36"/>
    <mergeCell ref="AW36:AX36"/>
    <mergeCell ref="BF36:BN36"/>
    <mergeCell ref="BQ36:BW36"/>
    <mergeCell ref="CF42:CH43"/>
    <mergeCell ref="C43:J43"/>
    <mergeCell ref="U43:AD43"/>
    <mergeCell ref="AH43:AV43"/>
    <mergeCell ref="BF43:BN43"/>
    <mergeCell ref="BQ43:BW43"/>
    <mergeCell ref="BZ43:CE43"/>
    <mergeCell ref="C41:AV41"/>
    <mergeCell ref="BF41:CE41"/>
    <mergeCell ref="C42:J42"/>
    <mergeCell ref="U42:AD42"/>
    <mergeCell ref="AH42:AV42"/>
    <mergeCell ref="AW42:AX43"/>
    <mergeCell ref="BQ42:BW42"/>
    <mergeCell ref="CF45:CH46"/>
    <mergeCell ref="C46:AV46"/>
    <mergeCell ref="BF46:CE46"/>
    <mergeCell ref="C47:J47"/>
    <mergeCell ref="BF47:BN47"/>
    <mergeCell ref="C44:AV44"/>
    <mergeCell ref="BF44:CE44"/>
    <mergeCell ref="C45:AV45"/>
    <mergeCell ref="AW45:AX46"/>
    <mergeCell ref="BF45:CE45"/>
    <mergeCell ref="FE15:FK15"/>
    <mergeCell ref="FL15:FM15"/>
    <mergeCell ref="FN15:FT15"/>
    <mergeCell ref="BJ16:BK16"/>
    <mergeCell ref="CO15:CQ15"/>
    <mergeCell ref="CR15:DB15"/>
    <mergeCell ref="DC15:DE15"/>
    <mergeCell ref="DG15:DH15"/>
    <mergeCell ref="DI15:DK15"/>
    <mergeCell ref="DL15:DV15"/>
    <mergeCell ref="DW15:EA15"/>
    <mergeCell ref="EC15:EE15"/>
    <mergeCell ref="EF15:EJ15"/>
    <mergeCell ref="BV15:CB15"/>
    <mergeCell ref="CC15:CD15"/>
    <mergeCell ref="CE15:CK15"/>
    <mergeCell ref="EK15:ER15"/>
    <mergeCell ref="ES15:ET15"/>
    <mergeCell ref="EU15:EV15"/>
    <mergeCell ref="EW15:FB15"/>
    <mergeCell ref="FC15:FD15"/>
    <mergeCell ref="BL16:BM16"/>
    <mergeCell ref="BN16:BS16"/>
    <mergeCell ref="BT16:BU16"/>
    <mergeCell ref="F16:H16"/>
    <mergeCell ref="I16:S16"/>
    <mergeCell ref="T16:V16"/>
    <mergeCell ref="X16:Y16"/>
    <mergeCell ref="Z16:AB16"/>
    <mergeCell ref="AC16:AM16"/>
    <mergeCell ref="AN16:AR16"/>
    <mergeCell ref="AT16:AV16"/>
    <mergeCell ref="AW16:BA16"/>
    <mergeCell ref="F17:H17"/>
    <mergeCell ref="I17:S17"/>
    <mergeCell ref="T17:V17"/>
    <mergeCell ref="X17:Y17"/>
    <mergeCell ref="Z17:AB17"/>
    <mergeCell ref="BJ18:BK18"/>
    <mergeCell ref="BL18:BM18"/>
    <mergeCell ref="BN18:BS18"/>
    <mergeCell ref="BT18:BU18"/>
    <mergeCell ref="AC18:AM18"/>
    <mergeCell ref="AN18:AR18"/>
    <mergeCell ref="AT18:AV18"/>
    <mergeCell ref="AW18:BA18"/>
    <mergeCell ref="BB18:BI18"/>
    <mergeCell ref="F18:H18"/>
    <mergeCell ref="I18:S18"/>
    <mergeCell ref="T18:V18"/>
    <mergeCell ref="X18:Y18"/>
    <mergeCell ref="Z18:AB18"/>
    <mergeCell ref="BB17:BI17"/>
    <mergeCell ref="BJ17:BK17"/>
    <mergeCell ref="BL17:BM17"/>
    <mergeCell ref="BN17:BS17"/>
    <mergeCell ref="BT17:BU17"/>
    <mergeCell ref="F19:H19"/>
    <mergeCell ref="I19:S19"/>
    <mergeCell ref="T19:V19"/>
    <mergeCell ref="X19:Y19"/>
    <mergeCell ref="Z19:AB19"/>
    <mergeCell ref="AC20:AM20"/>
    <mergeCell ref="AN20:AR20"/>
    <mergeCell ref="AT20:AV20"/>
    <mergeCell ref="AW20:BA20"/>
    <mergeCell ref="AC19:AM19"/>
    <mergeCell ref="AN19:AR19"/>
    <mergeCell ref="AT19:AV19"/>
    <mergeCell ref="AW19:BA19"/>
    <mergeCell ref="F20:H20"/>
    <mergeCell ref="I20:S20"/>
    <mergeCell ref="T20:V20"/>
    <mergeCell ref="X20:Y20"/>
    <mergeCell ref="Z20:AB20"/>
    <mergeCell ref="BB20:BI20"/>
    <mergeCell ref="BJ20:BK20"/>
    <mergeCell ref="BL20:BM20"/>
    <mergeCell ref="BN20:BS20"/>
    <mergeCell ref="BT20:BU20"/>
    <mergeCell ref="BV20:CB20"/>
    <mergeCell ref="CC20:CD20"/>
    <mergeCell ref="CE20:CK20"/>
    <mergeCell ref="BQ4:CF4"/>
    <mergeCell ref="BQ6:CF6"/>
    <mergeCell ref="BQ5:CF5"/>
    <mergeCell ref="CE19:CK19"/>
    <mergeCell ref="BV17:CB17"/>
    <mergeCell ref="CC17:CD17"/>
    <mergeCell ref="CE17:CK17"/>
    <mergeCell ref="CC18:CD18"/>
    <mergeCell ref="CC16:CD16"/>
    <mergeCell ref="CE16:CK16"/>
    <mergeCell ref="BV14:CB14"/>
    <mergeCell ref="CC14:CD14"/>
    <mergeCell ref="CE14:CK14"/>
    <mergeCell ref="BB15:BI15"/>
    <mergeCell ref="BJ15:BK15"/>
    <mergeCell ref="BL15:BM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T47"/>
  <sheetViews>
    <sheetView workbookViewId="0">
      <selection activeCell="CQ16" sqref="CQ16"/>
    </sheetView>
  </sheetViews>
  <sheetFormatPr defaultColWidth="10.42578125" defaultRowHeight="10.199999999999999" x14ac:dyDescent="0.2"/>
  <cols>
    <col min="1" max="1" width="1.140625" style="1" customWidth="1"/>
    <col min="2" max="2" width="0.7109375" style="1" customWidth="1"/>
    <col min="3" max="3" width="7.7109375" style="1" customWidth="1"/>
    <col min="4" max="4" width="3.42578125" style="1" customWidth="1"/>
    <col min="5" max="5" width="3.140625" style="1" customWidth="1"/>
    <col min="6" max="6" width="0.7109375" style="1" customWidth="1"/>
    <col min="7" max="7" width="0.42578125" style="1" customWidth="1"/>
    <col min="8" max="8" width="3.42578125" style="1" customWidth="1"/>
    <col min="9" max="9" width="5.85546875" style="1" customWidth="1"/>
    <col min="10" max="10" width="2.28515625" style="1" customWidth="1"/>
    <col min="11" max="11" width="0.28515625" style="1" customWidth="1"/>
    <col min="12" max="12" width="2" style="1" customWidth="1"/>
    <col min="13" max="13" width="1.85546875" style="1" customWidth="1"/>
    <col min="14" max="14" width="3.42578125" style="1" customWidth="1"/>
    <col min="15" max="15" width="3" style="1" customWidth="1"/>
    <col min="16" max="16" width="1.85546875" style="1" customWidth="1"/>
    <col min="17" max="17" width="2.28515625" style="1" customWidth="1"/>
    <col min="18" max="18" width="2.42578125" style="1" customWidth="1"/>
    <col min="19" max="19" width="0.140625" style="1" customWidth="1"/>
    <col min="20" max="20" width="5.42578125" style="1" customWidth="1"/>
    <col min="21" max="21" width="3" style="1" customWidth="1"/>
    <col min="22" max="22" width="0.7109375" style="1" customWidth="1"/>
    <col min="23" max="23" width="4.140625" style="1" customWidth="1"/>
    <col min="24" max="24" width="1.42578125" style="1" customWidth="1"/>
    <col min="25" max="25" width="7.7109375" style="1" customWidth="1"/>
    <col min="26" max="26" width="2" style="1" customWidth="1"/>
    <col min="27" max="27" width="0.28515625" style="1" customWidth="1"/>
    <col min="28" max="28" width="6.85546875" style="1" customWidth="1"/>
    <col min="29" max="29" width="0.7109375" style="1" customWidth="1"/>
    <col min="30" max="30" width="1.7109375" style="1" customWidth="1"/>
    <col min="31" max="31" width="0.28515625" style="1" customWidth="1"/>
    <col min="32" max="32" width="1.140625" style="1" customWidth="1"/>
    <col min="33" max="34" width="0.28515625" style="1" customWidth="1"/>
    <col min="35" max="35" width="0.85546875" style="1" customWidth="1"/>
    <col min="36" max="36" width="0.28515625" style="1" customWidth="1"/>
    <col min="37" max="37" width="2.7109375" style="1" customWidth="1"/>
    <col min="38" max="38" width="0.28515625" style="1" customWidth="1"/>
    <col min="39" max="39" width="0.140625" style="1" customWidth="1"/>
    <col min="40" max="41" width="2.28515625" style="1" customWidth="1"/>
    <col min="42" max="42" width="3.85546875" style="1" customWidth="1"/>
    <col min="43" max="43" width="1.85546875" style="1" customWidth="1"/>
    <col min="44" max="44" width="0.140625" style="1" customWidth="1"/>
    <col min="45" max="45" width="11.42578125" style="1" customWidth="1"/>
    <col min="46" max="47" width="1.85546875" style="1" customWidth="1"/>
    <col min="48" max="48" width="2.7109375" style="1" customWidth="1"/>
    <col min="49" max="49" width="0.28515625" style="2" customWidth="1"/>
    <col min="50" max="50" width="3.85546875" style="2" customWidth="1"/>
    <col min="51" max="52" width="1.85546875" style="1" customWidth="1"/>
    <col min="53" max="53" width="0.28515625" style="1" customWidth="1"/>
    <col min="54" max="54" width="2.7109375" style="1" customWidth="1"/>
    <col min="55" max="55" width="3.85546875" style="1" customWidth="1"/>
    <col min="56" max="57" width="1.140625" style="1" customWidth="1"/>
    <col min="58" max="58" width="0.85546875" style="1" customWidth="1"/>
    <col min="59" max="59" width="3.42578125" style="1" customWidth="1"/>
    <col min="60" max="60" width="0.42578125" style="1" customWidth="1"/>
    <col min="61" max="61" width="0.7109375" style="1" customWidth="1"/>
    <col min="62" max="62" width="0.42578125" style="1" customWidth="1"/>
    <col min="63" max="63" width="4.85546875" style="1" customWidth="1"/>
    <col min="64" max="64" width="1" style="1" customWidth="1"/>
    <col min="65" max="65" width="10.7109375" style="1" customWidth="1"/>
    <col min="66" max="66" width="3.140625" style="1" customWidth="1"/>
    <col min="67" max="67" width="1.28515625" style="1" customWidth="1"/>
    <col min="68" max="68" width="0.42578125" style="1" customWidth="1"/>
    <col min="69" max="69" width="6" style="1" customWidth="1"/>
    <col min="70" max="70" width="4.140625" style="1" customWidth="1"/>
    <col min="71" max="71" width="2.85546875" style="1" customWidth="1"/>
    <col min="72" max="73" width="2.28515625" style="1" customWidth="1"/>
    <col min="74" max="74" width="4.140625" style="1" customWidth="1"/>
    <col min="75" max="75" width="2.85546875" style="1" customWidth="1"/>
    <col min="76" max="76" width="1.42578125" style="1" customWidth="1"/>
    <col min="77" max="77" width="0.28515625" style="1" customWidth="1"/>
    <col min="78" max="78" width="0.140625" style="1" customWidth="1"/>
    <col min="79" max="79" width="1.85546875" style="1" customWidth="1"/>
    <col min="80" max="80" width="3.85546875" style="1" customWidth="1"/>
    <col min="81" max="81" width="1.42578125" style="1" customWidth="1"/>
    <col min="82" max="82" width="14.7109375" style="1" customWidth="1"/>
    <col min="83" max="83" width="8.140625" style="1" customWidth="1"/>
    <col min="84" max="84" width="0.7109375" style="3" customWidth="1"/>
    <col min="85" max="85" width="3" style="3" customWidth="1"/>
    <col min="86" max="86" width="0.42578125" style="3" customWidth="1"/>
    <col min="87" max="87" width="0.140625" style="1" customWidth="1"/>
    <col min="88" max="88" width="0.28515625" style="1" customWidth="1"/>
    <col min="89" max="89" width="0.140625" style="1" customWidth="1"/>
    <col min="90" max="90" width="10.28515625" style="1" customWidth="1"/>
    <col min="91" max="92" width="10.42578125" style="1" customWidth="1"/>
  </cols>
  <sheetData>
    <row r="1" spans="2:176" s="4" customFormat="1" ht="15" customHeight="1" x14ac:dyDescent="0.2">
      <c r="B1" s="111" t="s">
        <v>0</v>
      </c>
      <c r="C1" s="111"/>
      <c r="D1" s="111"/>
      <c r="E1" s="111"/>
      <c r="F1" s="7"/>
      <c r="G1" s="8"/>
      <c r="H1" s="103" t="s">
        <v>1</v>
      </c>
      <c r="I1" s="103"/>
      <c r="J1" s="103"/>
      <c r="K1" s="103"/>
      <c r="L1" s="103"/>
      <c r="M1" s="103"/>
      <c r="N1" s="103"/>
      <c r="O1" s="112" t="s">
        <v>146</v>
      </c>
      <c r="P1" s="112"/>
      <c r="Q1" s="112"/>
      <c r="R1" s="112"/>
      <c r="S1" s="112"/>
      <c r="T1" s="112"/>
      <c r="U1" s="112"/>
      <c r="V1" s="110" t="s">
        <v>2</v>
      </c>
      <c r="W1" s="110"/>
      <c r="X1" s="112" t="s">
        <v>147</v>
      </c>
      <c r="Y1" s="112"/>
      <c r="Z1" s="112"/>
      <c r="AA1" s="112"/>
      <c r="AB1" s="112"/>
      <c r="AC1" s="112"/>
      <c r="AD1" s="112"/>
      <c r="AE1" s="112"/>
      <c r="AF1" s="112"/>
      <c r="AG1" s="112"/>
      <c r="AH1" s="108" t="s">
        <v>3</v>
      </c>
      <c r="AI1" s="108"/>
      <c r="AJ1" s="108"/>
      <c r="AK1" s="108"/>
      <c r="AL1" s="10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113" t="s">
        <v>4</v>
      </c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8"/>
      <c r="CJ1" s="8"/>
      <c r="CK1" s="8"/>
    </row>
    <row r="2" spans="2:176" s="4" customFormat="1" ht="16.2" customHeight="1" x14ac:dyDescent="0.2">
      <c r="B2" s="111"/>
      <c r="C2" s="111"/>
      <c r="D2" s="111"/>
      <c r="E2" s="111"/>
      <c r="F2" s="7"/>
      <c r="G2" s="8"/>
      <c r="H2" s="103" t="s">
        <v>5</v>
      </c>
      <c r="I2" s="103"/>
      <c r="J2" s="103"/>
      <c r="K2" s="103"/>
      <c r="L2" s="103"/>
      <c r="M2" s="103"/>
      <c r="N2" s="103"/>
      <c r="O2" s="112" t="s">
        <v>6</v>
      </c>
      <c r="P2" s="112"/>
      <c r="Q2" s="112"/>
      <c r="R2" s="112"/>
      <c r="S2" s="112"/>
      <c r="T2" s="112"/>
      <c r="U2" s="112"/>
      <c r="V2" s="9" t="s">
        <v>2</v>
      </c>
      <c r="W2" s="9"/>
      <c r="X2" s="10" t="s">
        <v>6</v>
      </c>
      <c r="Y2" s="10"/>
      <c r="Z2" s="10"/>
      <c r="AA2" s="10"/>
      <c r="AB2" s="10"/>
      <c r="AC2" s="10"/>
      <c r="AD2" s="10"/>
      <c r="AE2" s="10"/>
      <c r="AF2" s="10"/>
      <c r="AG2" s="10"/>
      <c r="AH2" s="108" t="s">
        <v>7</v>
      </c>
      <c r="AI2" s="108"/>
      <c r="AJ2" s="108"/>
      <c r="AK2" s="108"/>
      <c r="AL2" s="10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4"/>
      <c r="BU2" s="114"/>
      <c r="BV2" s="114"/>
      <c r="BW2" s="114"/>
      <c r="BX2" s="114"/>
      <c r="BY2" s="114"/>
      <c r="BZ2" s="114"/>
      <c r="CA2" s="114"/>
      <c r="CB2" s="114"/>
      <c r="CC2" s="114"/>
      <c r="CD2" s="114"/>
      <c r="CE2" s="114"/>
      <c r="CF2" s="114"/>
      <c r="CG2" s="114"/>
      <c r="CH2" s="114"/>
      <c r="CI2" s="8"/>
      <c r="CJ2" s="8"/>
      <c r="CK2" s="8"/>
    </row>
    <row r="3" spans="2:176" s="4" customFormat="1" ht="4.05" customHeight="1" x14ac:dyDescent="0.2">
      <c r="B3" s="111"/>
      <c r="C3" s="111"/>
      <c r="D3" s="111"/>
      <c r="E3" s="111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4"/>
      <c r="BV3" s="114"/>
      <c r="BW3" s="114"/>
      <c r="BX3" s="114"/>
      <c r="BY3" s="114"/>
      <c r="BZ3" s="114"/>
      <c r="CA3" s="114"/>
      <c r="CB3" s="114"/>
      <c r="CC3" s="114"/>
      <c r="CD3" s="114"/>
      <c r="CE3" s="114"/>
      <c r="CF3" s="114"/>
      <c r="CG3" s="114"/>
      <c r="CH3" s="114"/>
      <c r="CI3" s="8"/>
      <c r="CJ3" s="8"/>
      <c r="CK3" s="8"/>
    </row>
    <row r="4" spans="2:176" s="4" customFormat="1" ht="15.15" customHeight="1" x14ac:dyDescent="0.2">
      <c r="B4" s="8"/>
      <c r="C4" s="8"/>
      <c r="D4" s="8"/>
      <c r="E4" s="8"/>
      <c r="F4" s="7"/>
      <c r="G4" s="117" t="s">
        <v>8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6" t="s">
        <v>148</v>
      </c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08" t="s">
        <v>9</v>
      </c>
      <c r="BH4" s="108"/>
      <c r="BI4" s="118" t="s">
        <v>10</v>
      </c>
      <c r="BJ4" s="118"/>
      <c r="BK4" s="118"/>
      <c r="BL4" s="118"/>
      <c r="BM4" s="118"/>
      <c r="BN4" s="118"/>
      <c r="BO4" s="118"/>
      <c r="BP4" s="11"/>
      <c r="BQ4" s="46" t="s">
        <v>117</v>
      </c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108" t="s">
        <v>11</v>
      </c>
      <c r="CH4" s="108"/>
      <c r="CI4" s="108"/>
      <c r="CJ4" s="8"/>
      <c r="CK4" s="8"/>
    </row>
    <row r="5" spans="2:176" s="4" customFormat="1" ht="23.25" customHeight="1" x14ac:dyDescent="0.2">
      <c r="B5" s="115" t="s">
        <v>12</v>
      </c>
      <c r="C5" s="115"/>
      <c r="D5" s="12">
        <v>1</v>
      </c>
      <c r="E5" s="13"/>
      <c r="F5" s="7"/>
      <c r="G5" s="109" t="s">
        <v>13</v>
      </c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16" t="s">
        <v>149</v>
      </c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08" t="s">
        <v>14</v>
      </c>
      <c r="BH5" s="108"/>
      <c r="BI5" s="109" t="s">
        <v>13</v>
      </c>
      <c r="BJ5" s="109"/>
      <c r="BK5" s="109"/>
      <c r="BL5" s="109"/>
      <c r="BM5" s="109"/>
      <c r="BN5" s="109"/>
      <c r="BO5" s="109"/>
      <c r="BP5" s="11"/>
      <c r="BQ5" s="47" t="s">
        <v>119</v>
      </c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108" t="s">
        <v>15</v>
      </c>
      <c r="CH5" s="108"/>
      <c r="CI5" s="108"/>
      <c r="CJ5" s="8"/>
      <c r="CK5" s="8"/>
    </row>
    <row r="6" spans="2:176" s="4" customFormat="1" ht="8.85" customHeight="1" x14ac:dyDescent="0.2">
      <c r="B6" s="8"/>
      <c r="C6" s="8"/>
      <c r="D6" s="8"/>
      <c r="E6" s="8"/>
      <c r="F6" s="7"/>
      <c r="G6" s="109" t="s">
        <v>16</v>
      </c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7" t="s">
        <v>150</v>
      </c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8" t="s">
        <v>17</v>
      </c>
      <c r="BH6" s="108"/>
      <c r="BI6" s="109" t="s">
        <v>18</v>
      </c>
      <c r="BJ6" s="109"/>
      <c r="BK6" s="109"/>
      <c r="BL6" s="109"/>
      <c r="BM6" s="109"/>
      <c r="BN6" s="109"/>
      <c r="BO6" s="109"/>
      <c r="BP6" s="11"/>
      <c r="BQ6" s="47" t="s">
        <v>121</v>
      </c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108" t="s">
        <v>19</v>
      </c>
      <c r="CH6" s="108"/>
      <c r="CI6" s="108"/>
      <c r="CJ6" s="8"/>
      <c r="CK6" s="8"/>
    </row>
    <row r="7" spans="2:176" s="4" customFormat="1" ht="8.85" customHeight="1" x14ac:dyDescent="0.2">
      <c r="B7" s="102" t="s">
        <v>20</v>
      </c>
      <c r="C7" s="102"/>
      <c r="D7" s="102"/>
      <c r="E7" s="102"/>
      <c r="F7" s="7"/>
      <c r="G7" s="103" t="s">
        <v>21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7" t="s">
        <v>122</v>
      </c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8" t="s">
        <v>22</v>
      </c>
      <c r="BH7" s="108"/>
      <c r="BI7" s="103" t="s">
        <v>23</v>
      </c>
      <c r="BJ7" s="103"/>
      <c r="BK7" s="103"/>
      <c r="BL7" s="103"/>
      <c r="BM7" s="103"/>
      <c r="BN7" s="103"/>
      <c r="BO7" s="103"/>
      <c r="BP7" s="11"/>
      <c r="BQ7" s="11"/>
      <c r="BR7" s="11"/>
      <c r="BS7" s="107" t="s">
        <v>123</v>
      </c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8" t="s">
        <v>24</v>
      </c>
      <c r="CH7" s="108"/>
      <c r="CI7" s="108"/>
      <c r="CJ7" s="8"/>
      <c r="CK7" s="8"/>
    </row>
    <row r="8" spans="2:176" s="4" customFormat="1" ht="8.85" customHeight="1" x14ac:dyDescent="0.2">
      <c r="B8" s="102"/>
      <c r="C8" s="102"/>
      <c r="D8" s="102"/>
      <c r="E8" s="102"/>
      <c r="F8" s="7"/>
      <c r="G8" s="103" t="s">
        <v>25</v>
      </c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7" t="s">
        <v>124</v>
      </c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8" t="s">
        <v>26</v>
      </c>
      <c r="BH8" s="108"/>
      <c r="BI8" s="111" t="s">
        <v>27</v>
      </c>
      <c r="BJ8" s="111"/>
      <c r="BK8" s="111"/>
      <c r="BL8" s="111"/>
      <c r="BM8" s="111"/>
      <c r="BN8" s="111"/>
      <c r="BO8" s="111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1"/>
      <c r="CF8" s="111"/>
      <c r="CG8" s="108" t="s">
        <v>28</v>
      </c>
      <c r="CH8" s="108"/>
      <c r="CI8" s="108"/>
      <c r="CJ8" s="8"/>
      <c r="CK8" s="8"/>
    </row>
    <row r="9" spans="2:176" s="4" customFormat="1" ht="8.85" customHeight="1" x14ac:dyDescent="0.2">
      <c r="B9" s="102"/>
      <c r="C9" s="102"/>
      <c r="D9" s="102"/>
      <c r="E9" s="102"/>
      <c r="F9" s="7"/>
      <c r="G9" s="103" t="s">
        <v>29</v>
      </c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7" t="s">
        <v>151</v>
      </c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10" t="s">
        <v>30</v>
      </c>
      <c r="BH9" s="110"/>
      <c r="BI9" s="111"/>
      <c r="BJ9" s="111"/>
      <c r="BK9" s="111"/>
      <c r="BL9" s="111"/>
      <c r="BM9" s="111"/>
      <c r="BN9" s="111"/>
      <c r="BO9" s="111"/>
      <c r="BP9" s="111"/>
      <c r="BQ9" s="111"/>
      <c r="BR9" s="111"/>
      <c r="BS9" s="111"/>
      <c r="BT9" s="111"/>
      <c r="BU9" s="111"/>
      <c r="BV9" s="111"/>
      <c r="BW9" s="111"/>
      <c r="BX9" s="111"/>
      <c r="BY9" s="107"/>
      <c r="BZ9" s="107"/>
      <c r="CA9" s="107"/>
      <c r="CB9" s="107"/>
      <c r="CC9" s="107"/>
      <c r="CD9" s="107"/>
      <c r="CE9" s="107"/>
      <c r="CF9" s="107"/>
      <c r="CG9" s="108"/>
      <c r="CH9" s="108"/>
      <c r="CI9" s="108"/>
      <c r="CJ9" s="8"/>
      <c r="CK9" s="8"/>
    </row>
    <row r="10" spans="2:176" s="4" customFormat="1" ht="8.85" customHeight="1" x14ac:dyDescent="0.2">
      <c r="B10" s="102"/>
      <c r="C10" s="102"/>
      <c r="D10" s="102"/>
      <c r="E10" s="102"/>
      <c r="F10" s="7"/>
      <c r="G10" s="103" t="s">
        <v>31</v>
      </c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7" t="s">
        <v>152</v>
      </c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10" t="s">
        <v>32</v>
      </c>
      <c r="BH10" s="110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</row>
    <row r="11" spans="2:176" s="5" customFormat="1" ht="3.15" customHeight="1" x14ac:dyDescent="0.2">
      <c r="B11" s="14"/>
      <c r="C11" s="14"/>
      <c r="D11" s="14"/>
      <c r="E11" s="1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</row>
    <row r="12" spans="2:176" s="1" customFormat="1" ht="65.55" customHeight="1" x14ac:dyDescent="0.2">
      <c r="B12" s="97" t="s">
        <v>33</v>
      </c>
      <c r="C12" s="97"/>
      <c r="D12" s="97"/>
      <c r="E12" s="97"/>
      <c r="F12" s="105" t="s">
        <v>34</v>
      </c>
      <c r="G12" s="105"/>
      <c r="H12" s="105"/>
      <c r="I12" s="100" t="s">
        <v>35</v>
      </c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 t="s">
        <v>36</v>
      </c>
      <c r="U12" s="100"/>
      <c r="V12" s="100"/>
      <c r="W12" s="94" t="s">
        <v>37</v>
      </c>
      <c r="X12" s="94"/>
      <c r="Y12" s="94"/>
      <c r="Z12" s="97" t="s">
        <v>38</v>
      </c>
      <c r="AA12" s="97"/>
      <c r="AB12" s="97"/>
      <c r="AC12" s="97" t="s">
        <v>39</v>
      </c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 t="s">
        <v>40</v>
      </c>
      <c r="AO12" s="97"/>
      <c r="AP12" s="97"/>
      <c r="AQ12" s="97"/>
      <c r="AR12" s="97"/>
      <c r="AS12" s="97" t="s">
        <v>41</v>
      </c>
      <c r="AT12" s="97" t="s">
        <v>42</v>
      </c>
      <c r="AU12" s="97"/>
      <c r="AV12" s="97"/>
      <c r="AW12" s="97" t="s">
        <v>43</v>
      </c>
      <c r="AX12" s="97"/>
      <c r="AY12" s="97"/>
      <c r="AZ12" s="97"/>
      <c r="BA12" s="97"/>
      <c r="BB12" s="100" t="s">
        <v>44</v>
      </c>
      <c r="BC12" s="100"/>
      <c r="BD12" s="100"/>
      <c r="BE12" s="100"/>
      <c r="BF12" s="100"/>
      <c r="BG12" s="100"/>
      <c r="BH12" s="100"/>
      <c r="BI12" s="100"/>
      <c r="BJ12" s="51" t="s">
        <v>45</v>
      </c>
      <c r="BK12" s="51"/>
      <c r="BL12" s="51"/>
      <c r="BM12" s="51"/>
      <c r="BN12" s="100" t="s">
        <v>46</v>
      </c>
      <c r="BO12" s="100"/>
      <c r="BP12" s="100"/>
      <c r="BQ12" s="100"/>
      <c r="BR12" s="100"/>
      <c r="BS12" s="100"/>
      <c r="BT12" s="96" t="s">
        <v>47</v>
      </c>
      <c r="BU12" s="96"/>
      <c r="BV12" s="96"/>
      <c r="BW12" s="96"/>
      <c r="BX12" s="96"/>
      <c r="BY12" s="96"/>
      <c r="BZ12" s="96"/>
      <c r="CA12" s="96"/>
      <c r="CB12" s="96"/>
      <c r="CC12" s="90" t="s">
        <v>48</v>
      </c>
      <c r="CD12" s="90"/>
      <c r="CE12" s="90" t="s">
        <v>49</v>
      </c>
      <c r="CF12" s="90"/>
      <c r="CG12" s="90"/>
      <c r="CH12" s="90"/>
      <c r="CI12" s="90"/>
      <c r="CJ12" s="90"/>
      <c r="CK12" s="90"/>
    </row>
    <row r="13" spans="2:176" s="1" customFormat="1" ht="65.55" customHeight="1" x14ac:dyDescent="0.2">
      <c r="B13" s="98"/>
      <c r="C13" s="99"/>
      <c r="D13" s="99"/>
      <c r="E13" s="99"/>
      <c r="F13" s="106"/>
      <c r="G13" s="99"/>
      <c r="H13" s="99"/>
      <c r="I13" s="98"/>
      <c r="J13" s="99"/>
      <c r="K13" s="99"/>
      <c r="L13" s="99"/>
      <c r="M13" s="99"/>
      <c r="N13" s="99"/>
      <c r="O13" s="99"/>
      <c r="P13" s="99"/>
      <c r="Q13" s="99"/>
      <c r="R13" s="99"/>
      <c r="S13" s="101"/>
      <c r="T13" s="98"/>
      <c r="U13" s="99"/>
      <c r="V13" s="101"/>
      <c r="W13" s="15" t="s">
        <v>50</v>
      </c>
      <c r="X13" s="94" t="s">
        <v>51</v>
      </c>
      <c r="Y13" s="94"/>
      <c r="Z13" s="98"/>
      <c r="AA13" s="99"/>
      <c r="AB13" s="99"/>
      <c r="AC13" s="98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8"/>
      <c r="AO13" s="99"/>
      <c r="AP13" s="99"/>
      <c r="AQ13" s="99"/>
      <c r="AR13" s="99"/>
      <c r="AS13" s="98"/>
      <c r="AT13" s="98"/>
      <c r="AU13" s="99"/>
      <c r="AV13" s="99"/>
      <c r="AW13" s="98"/>
      <c r="AX13" s="99"/>
      <c r="AY13" s="99"/>
      <c r="AZ13" s="99"/>
      <c r="BA13" s="99"/>
      <c r="BB13" s="98"/>
      <c r="BC13" s="99"/>
      <c r="BD13" s="99"/>
      <c r="BE13" s="99"/>
      <c r="BF13" s="99"/>
      <c r="BG13" s="99"/>
      <c r="BH13" s="99"/>
      <c r="BI13" s="101"/>
      <c r="BJ13" s="95" t="s">
        <v>52</v>
      </c>
      <c r="BK13" s="95"/>
      <c r="BL13" s="95" t="s">
        <v>53</v>
      </c>
      <c r="BM13" s="95"/>
      <c r="BN13" s="98"/>
      <c r="BO13" s="99"/>
      <c r="BP13" s="99"/>
      <c r="BQ13" s="99"/>
      <c r="BR13" s="99"/>
      <c r="BS13" s="101"/>
      <c r="BT13" s="96" t="s">
        <v>50</v>
      </c>
      <c r="BU13" s="96"/>
      <c r="BV13" s="96" t="s">
        <v>54</v>
      </c>
      <c r="BW13" s="96"/>
      <c r="BX13" s="96"/>
      <c r="BY13" s="96"/>
      <c r="BZ13" s="96"/>
      <c r="CA13" s="96"/>
      <c r="CB13" s="96"/>
      <c r="CC13" s="91"/>
      <c r="CD13" s="93"/>
      <c r="CE13" s="91"/>
      <c r="CF13" s="92"/>
      <c r="CG13" s="92"/>
      <c r="CH13" s="92"/>
      <c r="CI13" s="92"/>
      <c r="CJ13" s="92"/>
      <c r="CK13" s="93"/>
    </row>
    <row r="14" spans="2:176" s="1" customFormat="1" ht="8.85" customHeight="1" x14ac:dyDescent="0.2">
      <c r="B14" s="86" t="s">
        <v>55</v>
      </c>
      <c r="C14" s="86"/>
      <c r="D14" s="86"/>
      <c r="E14" s="86"/>
      <c r="F14" s="87" t="s">
        <v>56</v>
      </c>
      <c r="G14" s="87"/>
      <c r="H14" s="87"/>
      <c r="I14" s="88" t="s">
        <v>57</v>
      </c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 t="s">
        <v>58</v>
      </c>
      <c r="U14" s="88"/>
      <c r="V14" s="88"/>
      <c r="W14" s="16" t="s">
        <v>59</v>
      </c>
      <c r="X14" s="86" t="s">
        <v>60</v>
      </c>
      <c r="Y14" s="86"/>
      <c r="Z14" s="86" t="s">
        <v>61</v>
      </c>
      <c r="AA14" s="86"/>
      <c r="AB14" s="86"/>
      <c r="AC14" s="86" t="s">
        <v>62</v>
      </c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 t="s">
        <v>63</v>
      </c>
      <c r="AO14" s="86"/>
      <c r="AP14" s="86"/>
      <c r="AQ14" s="86"/>
      <c r="AR14" s="86"/>
      <c r="AS14" s="16" t="s">
        <v>64</v>
      </c>
      <c r="AT14" s="86" t="s">
        <v>65</v>
      </c>
      <c r="AU14" s="86"/>
      <c r="AV14" s="86"/>
      <c r="AW14" s="86" t="s">
        <v>66</v>
      </c>
      <c r="AX14" s="86"/>
      <c r="AY14" s="86"/>
      <c r="AZ14" s="86"/>
      <c r="BA14" s="86"/>
      <c r="BB14" s="89" t="s">
        <v>67</v>
      </c>
      <c r="BC14" s="89"/>
      <c r="BD14" s="89"/>
      <c r="BE14" s="89"/>
      <c r="BF14" s="89"/>
      <c r="BG14" s="89"/>
      <c r="BH14" s="89"/>
      <c r="BI14" s="89"/>
      <c r="BJ14" s="86" t="s">
        <v>68</v>
      </c>
      <c r="BK14" s="86"/>
      <c r="BL14" s="86" t="s">
        <v>69</v>
      </c>
      <c r="BM14" s="86"/>
      <c r="BN14" s="89" t="s">
        <v>70</v>
      </c>
      <c r="BO14" s="89"/>
      <c r="BP14" s="89"/>
      <c r="BQ14" s="89"/>
      <c r="BR14" s="89"/>
      <c r="BS14" s="89"/>
      <c r="BT14" s="48" t="s">
        <v>71</v>
      </c>
      <c r="BU14" s="48"/>
      <c r="BV14" s="48" t="s">
        <v>72</v>
      </c>
      <c r="BW14" s="48"/>
      <c r="BX14" s="48"/>
      <c r="BY14" s="48"/>
      <c r="BZ14" s="48"/>
      <c r="CA14" s="48"/>
      <c r="CB14" s="48"/>
      <c r="CC14" s="48" t="s">
        <v>73</v>
      </c>
      <c r="CD14" s="48"/>
      <c r="CE14" s="48" t="s">
        <v>74</v>
      </c>
      <c r="CF14" s="48"/>
      <c r="CG14" s="48"/>
      <c r="CH14" s="48"/>
      <c r="CI14" s="48"/>
      <c r="CJ14" s="48"/>
      <c r="CK14" s="48"/>
    </row>
    <row r="15" spans="2:176" s="6" customFormat="1" ht="31.95" customHeight="1" x14ac:dyDescent="0.2">
      <c r="B15" s="17" t="s">
        <v>153</v>
      </c>
      <c r="C15" s="18"/>
      <c r="D15" s="18"/>
      <c r="E15" s="19"/>
      <c r="F15" s="49">
        <v>1</v>
      </c>
      <c r="G15" s="49"/>
      <c r="H15" s="49"/>
      <c r="I15" s="50" t="s">
        <v>154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43" t="s">
        <v>129</v>
      </c>
      <c r="U15" s="43"/>
      <c r="V15" s="43"/>
      <c r="W15" s="41">
        <v>796</v>
      </c>
      <c r="X15" s="51" t="s">
        <v>155</v>
      </c>
      <c r="Y15" s="51"/>
      <c r="Z15" s="52">
        <v>24</v>
      </c>
      <c r="AA15" s="53"/>
      <c r="AB15" s="54"/>
      <c r="AC15" s="55">
        <v>95</v>
      </c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>
        <f t="shared" ref="AN15:AN20" si="0">ROUND(Z15*AC15,2)</f>
        <v>2280</v>
      </c>
      <c r="AO15" s="56"/>
      <c r="AP15" s="56"/>
      <c r="AQ15" s="56"/>
      <c r="AR15" s="56"/>
      <c r="AS15" s="32" t="s">
        <v>131</v>
      </c>
      <c r="AT15" s="57">
        <v>0.1</v>
      </c>
      <c r="AU15" s="58"/>
      <c r="AV15" s="59"/>
      <c r="AW15" s="60">
        <f t="shared" ref="AW15:AW20" si="1">ROUND(AN15*AT15,2)</f>
        <v>228</v>
      </c>
      <c r="AX15" s="61"/>
      <c r="AY15" s="61"/>
      <c r="AZ15" s="61"/>
      <c r="BA15" s="61"/>
      <c r="BB15" s="42">
        <f>ROUND(AN15+AW15,2)</f>
        <v>2508</v>
      </c>
      <c r="BC15" s="42"/>
      <c r="BD15" s="42"/>
      <c r="BE15" s="42"/>
      <c r="BF15" s="42"/>
      <c r="BG15" s="42"/>
      <c r="BH15" s="42"/>
      <c r="BI15" s="42"/>
      <c r="BJ15" s="43">
        <v>643</v>
      </c>
      <c r="BK15" s="43"/>
      <c r="BL15" s="43" t="s">
        <v>132</v>
      </c>
      <c r="BM15" s="43"/>
      <c r="BN15" s="43"/>
      <c r="BO15" s="43"/>
      <c r="BP15" s="43"/>
      <c r="BQ15" s="43"/>
      <c r="BR15" s="43"/>
      <c r="BS15" s="43"/>
      <c r="BT15" s="44"/>
      <c r="BU15" s="44"/>
      <c r="BV15" s="44"/>
      <c r="BW15" s="44"/>
      <c r="BX15" s="44"/>
      <c r="BY15" s="44"/>
      <c r="BZ15" s="44"/>
      <c r="CA15" s="44"/>
      <c r="CB15" s="44"/>
      <c r="CC15" s="45"/>
      <c r="CD15" s="45"/>
      <c r="CE15" s="45"/>
      <c r="CF15" s="45"/>
      <c r="CG15" s="45"/>
      <c r="CH15" s="45"/>
      <c r="CI15" s="45"/>
      <c r="CJ15" s="45"/>
      <c r="CK15" s="45"/>
      <c r="CL15" s="18"/>
      <c r="CM15" s="18"/>
      <c r="CN15" s="19"/>
      <c r="CO15" s="49"/>
      <c r="CP15" s="49"/>
      <c r="CQ15" s="49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20"/>
      <c r="DG15" s="43"/>
      <c r="DH15" s="43"/>
      <c r="DI15" s="62"/>
      <c r="DJ15" s="62"/>
      <c r="DK15" s="62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1"/>
      <c r="DX15" s="61"/>
      <c r="DY15" s="61"/>
      <c r="DZ15" s="61"/>
      <c r="EA15" s="61"/>
      <c r="EB15" s="21"/>
      <c r="EC15" s="43"/>
      <c r="ED15" s="43"/>
      <c r="EE15" s="43"/>
      <c r="EF15" s="61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4"/>
      <c r="FD15" s="44"/>
      <c r="FE15" s="44"/>
      <c r="FF15" s="44"/>
      <c r="FG15" s="44"/>
      <c r="FH15" s="44"/>
      <c r="FI15" s="44"/>
      <c r="FJ15" s="44"/>
      <c r="FK15" s="44"/>
      <c r="FL15" s="45"/>
      <c r="FM15" s="45"/>
      <c r="FN15" s="45"/>
      <c r="FO15" s="45"/>
      <c r="FP15" s="45"/>
      <c r="FQ15" s="45"/>
      <c r="FR15" s="45"/>
      <c r="FS15" s="45"/>
      <c r="FT15" s="45"/>
    </row>
    <row r="16" spans="2:176" s="6" customFormat="1" ht="31.95" customHeight="1" x14ac:dyDescent="0.2">
      <c r="B16" s="17" t="s">
        <v>156</v>
      </c>
      <c r="C16" s="18"/>
      <c r="D16" s="18"/>
      <c r="E16" s="19"/>
      <c r="F16" s="49">
        <v>2</v>
      </c>
      <c r="G16" s="49"/>
      <c r="H16" s="49"/>
      <c r="I16" s="50" t="s">
        <v>157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43" t="s">
        <v>129</v>
      </c>
      <c r="U16" s="43"/>
      <c r="V16" s="43"/>
      <c r="W16" s="41">
        <v>796</v>
      </c>
      <c r="X16" s="51" t="s">
        <v>155</v>
      </c>
      <c r="Y16" s="51"/>
      <c r="Z16" s="52">
        <v>10</v>
      </c>
      <c r="AA16" s="53"/>
      <c r="AB16" s="54"/>
      <c r="AC16" s="55">
        <v>235</v>
      </c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>
        <f t="shared" si="0"/>
        <v>2350</v>
      </c>
      <c r="AO16" s="56"/>
      <c r="AP16" s="56"/>
      <c r="AQ16" s="56"/>
      <c r="AR16" s="56"/>
      <c r="AS16" s="32" t="s">
        <v>131</v>
      </c>
      <c r="AT16" s="57">
        <v>0.1</v>
      </c>
      <c r="AU16" s="58"/>
      <c r="AV16" s="59"/>
      <c r="AW16" s="60">
        <f t="shared" si="1"/>
        <v>235</v>
      </c>
      <c r="AX16" s="61"/>
      <c r="AY16" s="61"/>
      <c r="AZ16" s="61"/>
      <c r="BA16" s="61"/>
      <c r="BB16" s="42">
        <f t="shared" ref="BB16:BB20" si="2">ROUND(AN16+AW16,2)</f>
        <v>2585</v>
      </c>
      <c r="BC16" s="42"/>
      <c r="BD16" s="42"/>
      <c r="BE16" s="42"/>
      <c r="BF16" s="42"/>
      <c r="BG16" s="42"/>
      <c r="BH16" s="42"/>
      <c r="BI16" s="42"/>
      <c r="BJ16" s="43">
        <v>643</v>
      </c>
      <c r="BK16" s="43"/>
      <c r="BL16" s="43" t="s">
        <v>132</v>
      </c>
      <c r="BM16" s="43"/>
      <c r="BN16" s="43"/>
      <c r="BO16" s="43"/>
      <c r="BP16" s="43"/>
      <c r="BQ16" s="43"/>
      <c r="BR16" s="43"/>
      <c r="BS16" s="43"/>
      <c r="BT16" s="44"/>
      <c r="BU16" s="44"/>
      <c r="BV16" s="44"/>
      <c r="BW16" s="44"/>
      <c r="BX16" s="44"/>
      <c r="BY16" s="44"/>
      <c r="BZ16" s="44"/>
      <c r="CA16" s="44"/>
      <c r="CB16" s="44"/>
      <c r="CC16" s="45"/>
      <c r="CD16" s="45"/>
      <c r="CE16" s="45"/>
      <c r="CF16" s="45"/>
      <c r="CG16" s="45"/>
      <c r="CH16" s="45"/>
      <c r="CI16" s="45"/>
      <c r="CJ16" s="45"/>
      <c r="CK16" s="45"/>
      <c r="CL16" s="33"/>
      <c r="CM16" s="33"/>
      <c r="CN16" s="33"/>
      <c r="CO16" s="34"/>
      <c r="CP16" s="34"/>
      <c r="CQ16" s="34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5"/>
      <c r="DJ16" s="35"/>
      <c r="DK16" s="35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7"/>
      <c r="DX16" s="37"/>
      <c r="DY16" s="37"/>
      <c r="DZ16" s="37"/>
      <c r="EA16" s="37"/>
      <c r="EB16" s="38"/>
      <c r="EC16" s="33"/>
      <c r="ED16" s="33"/>
      <c r="EE16" s="33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9"/>
      <c r="FD16" s="39"/>
      <c r="FE16" s="39"/>
      <c r="FF16" s="39"/>
      <c r="FG16" s="39"/>
      <c r="FH16" s="39"/>
      <c r="FI16" s="39"/>
      <c r="FJ16" s="39"/>
      <c r="FK16" s="39"/>
      <c r="FL16" s="40"/>
      <c r="FM16" s="40"/>
      <c r="FN16" s="40"/>
      <c r="FO16" s="40"/>
      <c r="FP16" s="40"/>
      <c r="FQ16" s="40"/>
      <c r="FR16" s="40"/>
      <c r="FS16" s="40"/>
      <c r="FT16" s="40"/>
    </row>
    <row r="17" spans="2:176" s="6" customFormat="1" ht="31.95" customHeight="1" x14ac:dyDescent="0.2">
      <c r="B17" s="17" t="s">
        <v>158</v>
      </c>
      <c r="C17" s="18"/>
      <c r="D17" s="18"/>
      <c r="E17" s="19"/>
      <c r="F17" s="49">
        <v>3</v>
      </c>
      <c r="G17" s="49"/>
      <c r="H17" s="49"/>
      <c r="I17" s="50" t="s">
        <v>159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43" t="s">
        <v>129</v>
      </c>
      <c r="U17" s="43"/>
      <c r="V17" s="43"/>
      <c r="W17" s="41">
        <v>796</v>
      </c>
      <c r="X17" s="51" t="s">
        <v>155</v>
      </c>
      <c r="Y17" s="51"/>
      <c r="Z17" s="52">
        <v>12</v>
      </c>
      <c r="AA17" s="53"/>
      <c r="AB17" s="54"/>
      <c r="AC17" s="55">
        <v>125</v>
      </c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>
        <f t="shared" si="0"/>
        <v>1500</v>
      </c>
      <c r="AO17" s="56"/>
      <c r="AP17" s="56"/>
      <c r="AQ17" s="56"/>
      <c r="AR17" s="56"/>
      <c r="AS17" s="32" t="s">
        <v>131</v>
      </c>
      <c r="AT17" s="57">
        <v>0.1</v>
      </c>
      <c r="AU17" s="58"/>
      <c r="AV17" s="59"/>
      <c r="AW17" s="60">
        <f t="shared" si="1"/>
        <v>150</v>
      </c>
      <c r="AX17" s="61"/>
      <c r="AY17" s="61"/>
      <c r="AZ17" s="61"/>
      <c r="BA17" s="61"/>
      <c r="BB17" s="42">
        <f t="shared" si="2"/>
        <v>1650</v>
      </c>
      <c r="BC17" s="42"/>
      <c r="BD17" s="42"/>
      <c r="BE17" s="42"/>
      <c r="BF17" s="42"/>
      <c r="BG17" s="42"/>
      <c r="BH17" s="42"/>
      <c r="BI17" s="42"/>
      <c r="BJ17" s="43">
        <v>643</v>
      </c>
      <c r="BK17" s="43"/>
      <c r="BL17" s="43" t="s">
        <v>132</v>
      </c>
      <c r="BM17" s="43"/>
      <c r="BN17" s="43"/>
      <c r="BO17" s="43"/>
      <c r="BP17" s="43"/>
      <c r="BQ17" s="43"/>
      <c r="BR17" s="43"/>
      <c r="BS17" s="43"/>
      <c r="BT17" s="44"/>
      <c r="BU17" s="44"/>
      <c r="BV17" s="44"/>
      <c r="BW17" s="44"/>
      <c r="BX17" s="44"/>
      <c r="BY17" s="44"/>
      <c r="BZ17" s="44"/>
      <c r="CA17" s="44"/>
      <c r="CB17" s="44"/>
      <c r="CC17" s="45"/>
      <c r="CD17" s="45"/>
      <c r="CE17" s="45"/>
      <c r="CF17" s="45"/>
      <c r="CG17" s="45"/>
      <c r="CH17" s="45"/>
      <c r="CI17" s="45"/>
      <c r="CJ17" s="45"/>
      <c r="CK17" s="45"/>
      <c r="CL17" s="33"/>
      <c r="CM17" s="33"/>
      <c r="CN17" s="33"/>
      <c r="CO17" s="34"/>
      <c r="CP17" s="34"/>
      <c r="CQ17" s="34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5"/>
      <c r="DJ17" s="35"/>
      <c r="DK17" s="35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7"/>
      <c r="DX17" s="37"/>
      <c r="DY17" s="37"/>
      <c r="DZ17" s="37"/>
      <c r="EA17" s="37"/>
      <c r="EB17" s="38"/>
      <c r="EC17" s="33"/>
      <c r="ED17" s="33"/>
      <c r="EE17" s="33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9"/>
      <c r="FD17" s="39"/>
      <c r="FE17" s="39"/>
      <c r="FF17" s="39"/>
      <c r="FG17" s="39"/>
      <c r="FH17" s="39"/>
      <c r="FI17" s="39"/>
      <c r="FJ17" s="39"/>
      <c r="FK17" s="39"/>
      <c r="FL17" s="40"/>
      <c r="FM17" s="40"/>
      <c r="FN17" s="40"/>
      <c r="FO17" s="40"/>
      <c r="FP17" s="40"/>
      <c r="FQ17" s="40"/>
      <c r="FR17" s="40"/>
      <c r="FS17" s="40"/>
      <c r="FT17" s="40"/>
    </row>
    <row r="18" spans="2:176" s="6" customFormat="1" ht="31.95" customHeight="1" x14ac:dyDescent="0.2">
      <c r="B18" s="17" t="s">
        <v>160</v>
      </c>
      <c r="C18" s="18"/>
      <c r="D18" s="18"/>
      <c r="E18" s="19"/>
      <c r="F18" s="49">
        <v>4</v>
      </c>
      <c r="G18" s="49"/>
      <c r="H18" s="49"/>
      <c r="I18" s="50" t="s">
        <v>161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43" t="s">
        <v>129</v>
      </c>
      <c r="U18" s="43"/>
      <c r="V18" s="43"/>
      <c r="W18" s="41">
        <v>166</v>
      </c>
      <c r="X18" s="51" t="s">
        <v>130</v>
      </c>
      <c r="Y18" s="51"/>
      <c r="Z18" s="52">
        <v>7.5</v>
      </c>
      <c r="AA18" s="53"/>
      <c r="AB18" s="54"/>
      <c r="AC18" s="55">
        <v>776</v>
      </c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>
        <f t="shared" si="0"/>
        <v>5820</v>
      </c>
      <c r="AO18" s="56"/>
      <c r="AP18" s="56"/>
      <c r="AQ18" s="56"/>
      <c r="AR18" s="56"/>
      <c r="AS18" s="32" t="s">
        <v>131</v>
      </c>
      <c r="AT18" s="57">
        <v>0.1</v>
      </c>
      <c r="AU18" s="58"/>
      <c r="AV18" s="59"/>
      <c r="AW18" s="60">
        <f t="shared" si="1"/>
        <v>582</v>
      </c>
      <c r="AX18" s="61"/>
      <c r="AY18" s="61"/>
      <c r="AZ18" s="61"/>
      <c r="BA18" s="61"/>
      <c r="BB18" s="42">
        <f t="shared" si="2"/>
        <v>6402</v>
      </c>
      <c r="BC18" s="42"/>
      <c r="BD18" s="42"/>
      <c r="BE18" s="42"/>
      <c r="BF18" s="42"/>
      <c r="BG18" s="42"/>
      <c r="BH18" s="42"/>
      <c r="BI18" s="42"/>
      <c r="BJ18" s="43">
        <v>643</v>
      </c>
      <c r="BK18" s="43"/>
      <c r="BL18" s="43" t="s">
        <v>132</v>
      </c>
      <c r="BM18" s="43"/>
      <c r="BN18" s="43"/>
      <c r="BO18" s="43"/>
      <c r="BP18" s="43"/>
      <c r="BQ18" s="43"/>
      <c r="BR18" s="43"/>
      <c r="BS18" s="43"/>
      <c r="BT18" s="44"/>
      <c r="BU18" s="44"/>
      <c r="BV18" s="44"/>
      <c r="BW18" s="44"/>
      <c r="BX18" s="44"/>
      <c r="BY18" s="44"/>
      <c r="BZ18" s="44"/>
      <c r="CA18" s="44"/>
      <c r="CB18" s="44"/>
      <c r="CC18" s="45"/>
      <c r="CD18" s="45"/>
      <c r="CE18" s="45"/>
      <c r="CF18" s="45"/>
      <c r="CG18" s="45"/>
      <c r="CH18" s="45"/>
      <c r="CI18" s="45"/>
      <c r="CJ18" s="45"/>
      <c r="CK18" s="45"/>
      <c r="CL18" s="33"/>
      <c r="CM18" s="33"/>
      <c r="CN18" s="33"/>
      <c r="CO18" s="34"/>
      <c r="CP18" s="34"/>
      <c r="CQ18" s="34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5"/>
      <c r="DJ18" s="35"/>
      <c r="DK18" s="35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7"/>
      <c r="DX18" s="37"/>
      <c r="DY18" s="37"/>
      <c r="DZ18" s="37"/>
      <c r="EA18" s="37"/>
      <c r="EB18" s="38"/>
      <c r="EC18" s="33"/>
      <c r="ED18" s="33"/>
      <c r="EE18" s="33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9"/>
      <c r="FD18" s="39"/>
      <c r="FE18" s="39"/>
      <c r="FF18" s="39"/>
      <c r="FG18" s="39"/>
      <c r="FH18" s="39"/>
      <c r="FI18" s="39"/>
      <c r="FJ18" s="39"/>
      <c r="FK18" s="39"/>
      <c r="FL18" s="40"/>
      <c r="FM18" s="40"/>
      <c r="FN18" s="40"/>
      <c r="FO18" s="40"/>
      <c r="FP18" s="40"/>
      <c r="FQ18" s="40"/>
      <c r="FR18" s="40"/>
      <c r="FS18" s="40"/>
      <c r="FT18" s="40"/>
    </row>
    <row r="19" spans="2:176" s="6" customFormat="1" ht="31.95" customHeight="1" x14ac:dyDescent="0.2">
      <c r="B19" s="17" t="s">
        <v>162</v>
      </c>
      <c r="C19" s="18"/>
      <c r="D19" s="18"/>
      <c r="E19" s="19"/>
      <c r="F19" s="49">
        <v>5</v>
      </c>
      <c r="G19" s="49"/>
      <c r="H19" s="49"/>
      <c r="I19" s="50" t="s">
        <v>163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43" t="s">
        <v>129</v>
      </c>
      <c r="U19" s="43"/>
      <c r="V19" s="43"/>
      <c r="W19" s="41">
        <v>166</v>
      </c>
      <c r="X19" s="51" t="s">
        <v>130</v>
      </c>
      <c r="Y19" s="51"/>
      <c r="Z19" s="52">
        <v>4</v>
      </c>
      <c r="AA19" s="53"/>
      <c r="AB19" s="54"/>
      <c r="AC19" s="55">
        <v>1020</v>
      </c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>
        <f t="shared" si="0"/>
        <v>4080</v>
      </c>
      <c r="AO19" s="56"/>
      <c r="AP19" s="56"/>
      <c r="AQ19" s="56"/>
      <c r="AR19" s="56"/>
      <c r="AS19" s="32" t="s">
        <v>131</v>
      </c>
      <c r="AT19" s="57">
        <v>0.1</v>
      </c>
      <c r="AU19" s="58"/>
      <c r="AV19" s="59"/>
      <c r="AW19" s="60">
        <f t="shared" si="1"/>
        <v>408</v>
      </c>
      <c r="AX19" s="61"/>
      <c r="AY19" s="61"/>
      <c r="AZ19" s="61"/>
      <c r="BA19" s="61"/>
      <c r="BB19" s="42">
        <f t="shared" si="2"/>
        <v>4488</v>
      </c>
      <c r="BC19" s="42"/>
      <c r="BD19" s="42"/>
      <c r="BE19" s="42"/>
      <c r="BF19" s="42"/>
      <c r="BG19" s="42"/>
      <c r="BH19" s="42"/>
      <c r="BI19" s="42"/>
      <c r="BJ19" s="43">
        <v>643</v>
      </c>
      <c r="BK19" s="43"/>
      <c r="BL19" s="43" t="s">
        <v>132</v>
      </c>
      <c r="BM19" s="43"/>
      <c r="BN19" s="43"/>
      <c r="BO19" s="43"/>
      <c r="BP19" s="43"/>
      <c r="BQ19" s="43"/>
      <c r="BR19" s="43"/>
      <c r="BS19" s="43"/>
      <c r="BT19" s="44"/>
      <c r="BU19" s="44"/>
      <c r="BV19" s="44"/>
      <c r="BW19" s="44"/>
      <c r="BX19" s="44"/>
      <c r="BY19" s="44"/>
      <c r="BZ19" s="44"/>
      <c r="CA19" s="44"/>
      <c r="CB19" s="44"/>
      <c r="CC19" s="45"/>
      <c r="CD19" s="45"/>
      <c r="CE19" s="45"/>
      <c r="CF19" s="45"/>
      <c r="CG19" s="45"/>
      <c r="CH19" s="45"/>
      <c r="CI19" s="45"/>
      <c r="CJ19" s="45"/>
      <c r="CK19" s="45"/>
      <c r="CL19" s="33"/>
      <c r="CM19" s="33"/>
      <c r="CN19" s="33"/>
      <c r="CO19" s="34"/>
      <c r="CP19" s="34"/>
      <c r="CQ19" s="34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5"/>
      <c r="DJ19" s="35"/>
      <c r="DK19" s="35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7"/>
      <c r="DX19" s="37"/>
      <c r="DY19" s="37"/>
      <c r="DZ19" s="37"/>
      <c r="EA19" s="37"/>
      <c r="EB19" s="38"/>
      <c r="EC19" s="33"/>
      <c r="ED19" s="33"/>
      <c r="EE19" s="33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9"/>
      <c r="FD19" s="39"/>
      <c r="FE19" s="39"/>
      <c r="FF19" s="39"/>
      <c r="FG19" s="39"/>
      <c r="FH19" s="39"/>
      <c r="FI19" s="39"/>
      <c r="FJ19" s="39"/>
      <c r="FK19" s="39"/>
      <c r="FL19" s="40"/>
      <c r="FM19" s="40"/>
      <c r="FN19" s="40"/>
      <c r="FO19" s="40"/>
      <c r="FP19" s="40"/>
      <c r="FQ19" s="40"/>
      <c r="FR19" s="40"/>
      <c r="FS19" s="40"/>
      <c r="FT19" s="40"/>
    </row>
    <row r="20" spans="2:176" s="6" customFormat="1" ht="31.95" customHeight="1" x14ac:dyDescent="0.2">
      <c r="B20" s="17" t="s">
        <v>164</v>
      </c>
      <c r="C20" s="18"/>
      <c r="D20" s="18"/>
      <c r="E20" s="19"/>
      <c r="F20" s="49">
        <v>6</v>
      </c>
      <c r="G20" s="49"/>
      <c r="H20" s="49"/>
      <c r="I20" s="50" t="s">
        <v>165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43" t="s">
        <v>129</v>
      </c>
      <c r="U20" s="43"/>
      <c r="V20" s="43"/>
      <c r="W20" s="41">
        <v>876</v>
      </c>
      <c r="X20" s="51" t="s">
        <v>166</v>
      </c>
      <c r="Y20" s="51"/>
      <c r="Z20" s="52">
        <v>1</v>
      </c>
      <c r="AA20" s="53"/>
      <c r="AB20" s="54"/>
      <c r="AC20" s="55">
        <v>950</v>
      </c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>
        <f t="shared" si="0"/>
        <v>950</v>
      </c>
      <c r="AO20" s="56"/>
      <c r="AP20" s="56"/>
      <c r="AQ20" s="56"/>
      <c r="AR20" s="56"/>
      <c r="AS20" s="32" t="s">
        <v>131</v>
      </c>
      <c r="AT20" s="57">
        <v>0.2</v>
      </c>
      <c r="AU20" s="58"/>
      <c r="AV20" s="59"/>
      <c r="AW20" s="60">
        <f t="shared" si="1"/>
        <v>190</v>
      </c>
      <c r="AX20" s="61"/>
      <c r="AY20" s="61"/>
      <c r="AZ20" s="61"/>
      <c r="BA20" s="61"/>
      <c r="BB20" s="42">
        <f t="shared" si="2"/>
        <v>1140</v>
      </c>
      <c r="BC20" s="42"/>
      <c r="BD20" s="42"/>
      <c r="BE20" s="42"/>
      <c r="BF20" s="42"/>
      <c r="BG20" s="42"/>
      <c r="BH20" s="42"/>
      <c r="BI20" s="42"/>
      <c r="BJ20" s="43"/>
      <c r="BK20" s="43"/>
      <c r="BL20" s="43" t="s">
        <v>129</v>
      </c>
      <c r="BM20" s="43"/>
      <c r="BN20" s="43"/>
      <c r="BO20" s="43"/>
      <c r="BP20" s="43"/>
      <c r="BQ20" s="43"/>
      <c r="BR20" s="43"/>
      <c r="BS20" s="43"/>
      <c r="BT20" s="44"/>
      <c r="BU20" s="44"/>
      <c r="BV20" s="44"/>
      <c r="BW20" s="44"/>
      <c r="BX20" s="44"/>
      <c r="BY20" s="44"/>
      <c r="BZ20" s="44"/>
      <c r="CA20" s="44"/>
      <c r="CB20" s="44"/>
      <c r="CC20" s="45"/>
      <c r="CD20" s="45"/>
      <c r="CE20" s="45"/>
      <c r="CF20" s="45"/>
      <c r="CG20" s="45"/>
      <c r="CH20" s="45"/>
      <c r="CI20" s="45"/>
      <c r="CJ20" s="45"/>
      <c r="CK20" s="45"/>
      <c r="CL20" s="33"/>
      <c r="CM20" s="33"/>
      <c r="CN20" s="33"/>
      <c r="CO20" s="34"/>
      <c r="CP20" s="34"/>
      <c r="CQ20" s="34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5"/>
      <c r="DJ20" s="35"/>
      <c r="DK20" s="35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7"/>
      <c r="DX20" s="37"/>
      <c r="DY20" s="37"/>
      <c r="DZ20" s="37"/>
      <c r="EA20" s="37"/>
      <c r="EB20" s="38"/>
      <c r="EC20" s="33"/>
      <c r="ED20" s="33"/>
      <c r="EE20" s="33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9"/>
      <c r="FD20" s="39"/>
      <c r="FE20" s="39"/>
      <c r="FF20" s="39"/>
      <c r="FG20" s="39"/>
      <c r="FH20" s="39"/>
      <c r="FI20" s="39"/>
      <c r="FJ20" s="39"/>
      <c r="FK20" s="39"/>
      <c r="FL20" s="40"/>
      <c r="FM20" s="40"/>
      <c r="FN20" s="40"/>
      <c r="FO20" s="40"/>
      <c r="FP20" s="40"/>
      <c r="FQ20" s="40"/>
      <c r="FR20" s="40"/>
      <c r="FS20" s="40"/>
      <c r="FT20" s="40"/>
    </row>
    <row r="21" spans="2:176" s="1" customFormat="1" ht="8.85" customHeight="1" x14ac:dyDescent="0.2">
      <c r="B21" s="22"/>
      <c r="C21" s="23"/>
      <c r="D21" s="23"/>
      <c r="E21" s="24"/>
      <c r="F21" s="74" t="s">
        <v>75</v>
      </c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25"/>
      <c r="U21" s="25"/>
      <c r="V21" s="25"/>
      <c r="W21" s="25"/>
      <c r="X21" s="25"/>
      <c r="Y21" s="25"/>
      <c r="Z21" s="25"/>
      <c r="AA21" s="25"/>
      <c r="AB21" s="2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6">
        <f>SUM(AN15:AN20)</f>
        <v>16980</v>
      </c>
      <c r="AO21" s="77"/>
      <c r="AP21" s="77"/>
      <c r="AQ21" s="77"/>
      <c r="AR21" s="77"/>
      <c r="AS21" s="78" t="s">
        <v>76</v>
      </c>
      <c r="AT21" s="78"/>
      <c r="AU21" s="78"/>
      <c r="AV21" s="78"/>
      <c r="AW21" s="76">
        <f>SUM(AW15:AW20)</f>
        <v>1793</v>
      </c>
      <c r="AX21" s="77"/>
      <c r="AY21" s="77"/>
      <c r="AZ21" s="77"/>
      <c r="BA21" s="77"/>
      <c r="BB21" s="76">
        <f>SUM(BB15:BB20)</f>
        <v>18773</v>
      </c>
      <c r="BC21" s="77"/>
      <c r="BD21" s="77"/>
      <c r="BE21" s="77"/>
      <c r="BF21" s="77"/>
      <c r="BG21" s="77"/>
      <c r="BH21" s="77"/>
      <c r="BI21" s="77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</row>
    <row r="22" spans="2:176" s="5" customFormat="1" ht="3.15" customHeight="1" x14ac:dyDescent="0.2">
      <c r="B22" s="14"/>
      <c r="C22" s="14"/>
      <c r="D22" s="14"/>
      <c r="E22" s="14"/>
      <c r="F22" s="26"/>
      <c r="G22" s="27"/>
      <c r="H22" s="27"/>
      <c r="I22" s="27"/>
      <c r="J22" s="26"/>
      <c r="K22" s="27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</row>
    <row r="23" spans="2:176" s="1" customFormat="1" ht="16.8" customHeight="1" x14ac:dyDescent="0.2">
      <c r="B23" s="80"/>
      <c r="C23" s="80"/>
      <c r="D23" s="80"/>
      <c r="E23" s="80"/>
      <c r="F23" s="26"/>
      <c r="G23" s="27"/>
      <c r="H23" s="27"/>
      <c r="I23" s="27"/>
      <c r="J23" s="26"/>
      <c r="K23" s="27"/>
      <c r="L23" s="81" t="s">
        <v>77</v>
      </c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28"/>
      <c r="Z23" s="28"/>
      <c r="AA23" s="28"/>
      <c r="AB23" s="28"/>
      <c r="AC23" s="28"/>
      <c r="AD23" s="28"/>
      <c r="AE23" s="28"/>
      <c r="AF23" s="28"/>
      <c r="AG23" s="27"/>
      <c r="AH23" s="27"/>
      <c r="AI23" s="27"/>
      <c r="AJ23" s="27"/>
      <c r="AK23" s="68" t="s">
        <v>167</v>
      </c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82" t="s">
        <v>78</v>
      </c>
      <c r="BL23" s="82"/>
      <c r="BM23" s="82"/>
      <c r="BN23" s="82"/>
      <c r="BO23" s="82"/>
      <c r="BP23" s="82"/>
      <c r="BQ23" s="82"/>
      <c r="BR23" s="28"/>
      <c r="BS23" s="28"/>
      <c r="BT23" s="28"/>
      <c r="BU23" s="28"/>
      <c r="BV23" s="28"/>
      <c r="BW23" s="28"/>
      <c r="BX23" s="28"/>
      <c r="BY23" s="28"/>
      <c r="BZ23" s="28"/>
      <c r="CA23" s="27"/>
      <c r="CB23" s="68" t="s">
        <v>168</v>
      </c>
      <c r="CC23" s="68"/>
      <c r="CD23" s="68"/>
      <c r="CE23" s="68"/>
      <c r="CF23" s="68"/>
      <c r="CG23" s="68"/>
      <c r="CH23" s="27"/>
      <c r="CI23" s="27"/>
      <c r="CJ23" s="27"/>
      <c r="CK23" s="27"/>
    </row>
    <row r="24" spans="2:176" s="1" customFormat="1" ht="11.4" customHeight="1" x14ac:dyDescent="0.2">
      <c r="B24" s="80"/>
      <c r="C24" s="80"/>
      <c r="D24" s="80"/>
      <c r="E24" s="80"/>
      <c r="F24" s="26"/>
      <c r="G24" s="27"/>
      <c r="H24" s="27"/>
      <c r="I24" s="27"/>
      <c r="J24" s="26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65" t="s">
        <v>79</v>
      </c>
      <c r="Z24" s="65"/>
      <c r="AA24" s="65"/>
      <c r="AB24" s="65"/>
      <c r="AC24" s="65"/>
      <c r="AD24" s="65"/>
      <c r="AE24" s="65"/>
      <c r="AF24" s="65"/>
      <c r="AG24" s="27"/>
      <c r="AH24" s="27"/>
      <c r="AI24" s="27"/>
      <c r="AJ24" s="27"/>
      <c r="AK24" s="65" t="s">
        <v>80</v>
      </c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65" t="s">
        <v>79</v>
      </c>
      <c r="BS24" s="65"/>
      <c r="BT24" s="65"/>
      <c r="BU24" s="65"/>
      <c r="BV24" s="65"/>
      <c r="BW24" s="65"/>
      <c r="BX24" s="65"/>
      <c r="BY24" s="65"/>
      <c r="BZ24" s="65"/>
      <c r="CA24" s="27"/>
      <c r="CB24" s="65" t="s">
        <v>80</v>
      </c>
      <c r="CC24" s="65"/>
      <c r="CD24" s="65"/>
      <c r="CE24" s="65"/>
      <c r="CF24" s="65"/>
      <c r="CG24" s="65"/>
      <c r="CH24" s="27"/>
      <c r="CI24" s="27"/>
      <c r="CJ24" s="27"/>
      <c r="CK24" s="27"/>
    </row>
    <row r="25" spans="2:176" s="1" customFormat="1" ht="16.8" customHeight="1" x14ac:dyDescent="0.2">
      <c r="B25" s="80"/>
      <c r="C25" s="80"/>
      <c r="D25" s="80"/>
      <c r="E25" s="80"/>
      <c r="F25" s="26"/>
      <c r="G25" s="27"/>
      <c r="H25" s="27"/>
      <c r="I25" s="27"/>
      <c r="J25" s="26"/>
      <c r="K25" s="27"/>
      <c r="L25" s="81" t="s">
        <v>81</v>
      </c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28"/>
      <c r="Z25" s="28"/>
      <c r="AA25" s="28"/>
      <c r="AB25" s="28"/>
      <c r="AC25" s="28"/>
      <c r="AD25" s="28"/>
      <c r="AE25" s="28"/>
      <c r="AF25" s="28"/>
      <c r="AG25" s="27"/>
      <c r="AH25" s="27"/>
      <c r="AI25" s="27"/>
      <c r="AJ25" s="27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27"/>
      <c r="CI25" s="27"/>
      <c r="CJ25" s="27"/>
      <c r="CK25" s="27"/>
    </row>
    <row r="26" spans="2:176" s="1" customFormat="1" ht="5.55" customHeight="1" x14ac:dyDescent="0.2">
      <c r="B26" s="80"/>
      <c r="C26" s="80"/>
      <c r="D26" s="80"/>
      <c r="E26" s="80"/>
      <c r="F26" s="29"/>
      <c r="G26" s="30"/>
      <c r="H26" s="30"/>
      <c r="I26" s="30"/>
      <c r="J26" s="29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73" t="s">
        <v>79</v>
      </c>
      <c r="Z26" s="73"/>
      <c r="AA26" s="73"/>
      <c r="AB26" s="73"/>
      <c r="AC26" s="73"/>
      <c r="AD26" s="73"/>
      <c r="AE26" s="73"/>
      <c r="AF26" s="73"/>
      <c r="AG26" s="30"/>
      <c r="AH26" s="30"/>
      <c r="AI26" s="30"/>
      <c r="AJ26" s="30"/>
      <c r="AK26" s="73" t="s">
        <v>80</v>
      </c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73" t="s">
        <v>82</v>
      </c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27"/>
      <c r="CI26" s="27"/>
      <c r="CJ26" s="27"/>
      <c r="CK26" s="27"/>
    </row>
    <row r="27" spans="2:176" s="5" customFormat="1" ht="3.15" customHeight="1" x14ac:dyDescent="0.2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3" t="s">
        <v>83</v>
      </c>
      <c r="CG27" s="83"/>
      <c r="CH27" s="83"/>
      <c r="CI27" s="14"/>
      <c r="CJ27" s="14"/>
      <c r="CK27" s="14"/>
    </row>
    <row r="28" spans="2:176" ht="8.85" customHeight="1" x14ac:dyDescent="0.2">
      <c r="B28" s="27"/>
      <c r="C28" s="67" t="s">
        <v>84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8" t="s">
        <v>169</v>
      </c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83"/>
      <c r="CG28" s="83"/>
      <c r="CH28" s="83"/>
      <c r="CI28" s="27"/>
      <c r="CJ28" s="27"/>
      <c r="CK28" s="27"/>
    </row>
    <row r="29" spans="2:176" s="5" customFormat="1" ht="5.55" customHeigh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65" t="s">
        <v>85</v>
      </c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83"/>
      <c r="CG29" s="83"/>
      <c r="CH29" s="83"/>
      <c r="CI29" s="14"/>
      <c r="CJ29" s="14"/>
      <c r="CK29" s="14"/>
    </row>
    <row r="30" spans="2:176" ht="8.85" customHeight="1" x14ac:dyDescent="0.2">
      <c r="B30" s="27"/>
      <c r="C30" s="84" t="s">
        <v>86</v>
      </c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72" t="s">
        <v>87</v>
      </c>
      <c r="CG30" s="72"/>
      <c r="CH30" s="72"/>
      <c r="CI30" s="27"/>
      <c r="CJ30" s="27"/>
      <c r="CK30" s="27"/>
    </row>
    <row r="31" spans="2:176" s="5" customFormat="1" ht="5.55" customHeight="1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65" t="s">
        <v>88</v>
      </c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72"/>
      <c r="CG31" s="72"/>
      <c r="CH31" s="72"/>
      <c r="CI31" s="14"/>
      <c r="CJ31" s="14"/>
      <c r="CK31" s="14"/>
    </row>
    <row r="32" spans="2:176" s="5" customFormat="1" ht="3.15" customHeight="1" x14ac:dyDescent="0.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</row>
    <row r="33" spans="2:89" ht="8.85" customHeight="1" x14ac:dyDescent="0.2">
      <c r="B33" s="27"/>
      <c r="C33" s="67" t="s">
        <v>89</v>
      </c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31"/>
      <c r="AX33" s="31"/>
      <c r="AY33" s="27"/>
      <c r="AZ33" s="27"/>
      <c r="BA33" s="27"/>
      <c r="BB33" s="27"/>
      <c r="BC33" s="27"/>
      <c r="BD33" s="27"/>
      <c r="BE33" s="26"/>
      <c r="BF33" s="67" t="s">
        <v>90</v>
      </c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31"/>
      <c r="CG33" s="31"/>
      <c r="CH33" s="31"/>
      <c r="CI33" s="27"/>
      <c r="CJ33" s="27"/>
      <c r="CK33" s="27"/>
    </row>
    <row r="34" spans="2:89" ht="8.85" customHeight="1" x14ac:dyDescent="0.2">
      <c r="B34" s="27"/>
      <c r="C34" s="28"/>
      <c r="D34" s="28"/>
      <c r="E34" s="28"/>
      <c r="F34" s="28"/>
      <c r="G34" s="28"/>
      <c r="H34" s="28"/>
      <c r="I34" s="28"/>
      <c r="J34" s="28"/>
      <c r="K34" s="27"/>
      <c r="L34" s="27"/>
      <c r="M34" s="27"/>
      <c r="N34" s="27"/>
      <c r="O34" s="27"/>
      <c r="P34" s="27"/>
      <c r="Q34" s="28"/>
      <c r="R34" s="28"/>
      <c r="S34" s="28"/>
      <c r="T34" s="2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27"/>
      <c r="AF34" s="27"/>
      <c r="AG34" s="27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64" t="s">
        <v>91</v>
      </c>
      <c r="AX34" s="64"/>
      <c r="AY34" s="27"/>
      <c r="AZ34" s="27"/>
      <c r="BA34" s="27"/>
      <c r="BB34" s="27"/>
      <c r="BC34" s="27"/>
      <c r="BD34" s="27"/>
      <c r="BE34" s="26"/>
      <c r="BF34" s="28"/>
      <c r="BG34" s="28"/>
      <c r="BH34" s="28"/>
      <c r="BI34" s="28"/>
      <c r="BJ34" s="28"/>
      <c r="BK34" s="28"/>
      <c r="BL34" s="28"/>
      <c r="BM34" s="28"/>
      <c r="BN34" s="28"/>
      <c r="BO34" s="27"/>
      <c r="BP34" s="27"/>
      <c r="BQ34" s="68"/>
      <c r="BR34" s="68"/>
      <c r="BS34" s="68"/>
      <c r="BT34" s="68"/>
      <c r="BU34" s="68"/>
      <c r="BV34" s="68"/>
      <c r="BW34" s="68"/>
      <c r="BX34" s="27"/>
      <c r="BY34" s="27"/>
      <c r="BZ34" s="28"/>
      <c r="CA34" s="28"/>
      <c r="CB34" s="28"/>
      <c r="CC34" s="28"/>
      <c r="CD34" s="28"/>
      <c r="CE34" s="28"/>
      <c r="CF34" s="64" t="s">
        <v>92</v>
      </c>
      <c r="CG34" s="64"/>
      <c r="CH34" s="64"/>
      <c r="CI34" s="27"/>
      <c r="CJ34" s="27"/>
      <c r="CK34" s="27"/>
    </row>
    <row r="35" spans="2:89" s="5" customFormat="1" ht="5.55" customHeight="1" x14ac:dyDescent="0.2">
      <c r="B35" s="14"/>
      <c r="C35" s="65" t="s">
        <v>93</v>
      </c>
      <c r="D35" s="65"/>
      <c r="E35" s="65"/>
      <c r="F35" s="65"/>
      <c r="G35" s="65"/>
      <c r="H35" s="65"/>
      <c r="I35" s="65"/>
      <c r="J35" s="65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65" t="s">
        <v>79</v>
      </c>
      <c r="V35" s="65"/>
      <c r="W35" s="65"/>
      <c r="X35" s="65"/>
      <c r="Y35" s="65"/>
      <c r="Z35" s="65"/>
      <c r="AA35" s="65"/>
      <c r="AB35" s="65"/>
      <c r="AC35" s="65"/>
      <c r="AD35" s="65"/>
      <c r="AE35" s="14"/>
      <c r="AF35" s="14"/>
      <c r="AG35" s="14"/>
      <c r="AH35" s="65" t="s">
        <v>80</v>
      </c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4"/>
      <c r="AX35" s="64"/>
      <c r="AY35" s="14"/>
      <c r="AZ35" s="14"/>
      <c r="BA35" s="14"/>
      <c r="BB35" s="14"/>
      <c r="BC35" s="14"/>
      <c r="BD35" s="14"/>
      <c r="BE35" s="26"/>
      <c r="BF35" s="65" t="s">
        <v>93</v>
      </c>
      <c r="BG35" s="65"/>
      <c r="BH35" s="65"/>
      <c r="BI35" s="65"/>
      <c r="BJ35" s="65"/>
      <c r="BK35" s="65"/>
      <c r="BL35" s="65"/>
      <c r="BM35" s="65"/>
      <c r="BN35" s="65"/>
      <c r="BO35" s="14"/>
      <c r="BP35" s="14"/>
      <c r="BQ35" s="65" t="s">
        <v>79</v>
      </c>
      <c r="BR35" s="65"/>
      <c r="BS35" s="65"/>
      <c r="BT35" s="65"/>
      <c r="BU35" s="65"/>
      <c r="BV35" s="65"/>
      <c r="BW35" s="65"/>
      <c r="BX35" s="14"/>
      <c r="BY35" s="14"/>
      <c r="BZ35" s="65" t="s">
        <v>80</v>
      </c>
      <c r="CA35" s="65"/>
      <c r="CB35" s="65"/>
      <c r="CC35" s="65"/>
      <c r="CD35" s="65"/>
      <c r="CE35" s="65"/>
      <c r="CF35" s="64"/>
      <c r="CG35" s="64"/>
      <c r="CH35" s="64"/>
      <c r="CI35" s="14"/>
      <c r="CJ35" s="14"/>
      <c r="CK35" s="14"/>
    </row>
    <row r="36" spans="2:89" ht="8.85" customHeight="1" x14ac:dyDescent="0.2">
      <c r="B36" s="27"/>
      <c r="C36" s="67" t="s">
        <v>94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70"/>
      <c r="X36" s="70"/>
      <c r="Y36" s="70"/>
      <c r="Z36" s="70"/>
      <c r="AA36" s="70"/>
      <c r="AB36" s="70"/>
      <c r="AC36" s="70"/>
      <c r="AD36" s="70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71" t="s">
        <v>95</v>
      </c>
      <c r="AX36" s="71"/>
      <c r="AY36" s="27"/>
      <c r="AZ36" s="27"/>
      <c r="BA36" s="27"/>
      <c r="BB36" s="27"/>
      <c r="BC36" s="27"/>
      <c r="BD36" s="27"/>
      <c r="BE36" s="26"/>
      <c r="BF36" s="67" t="s">
        <v>96</v>
      </c>
      <c r="BG36" s="67"/>
      <c r="BH36" s="67"/>
      <c r="BI36" s="67"/>
      <c r="BJ36" s="67"/>
      <c r="BK36" s="67"/>
      <c r="BL36" s="67"/>
      <c r="BM36" s="67"/>
      <c r="BN36" s="67"/>
      <c r="BO36" s="27"/>
      <c r="BP36" s="27"/>
      <c r="BQ36" s="70" t="s">
        <v>97</v>
      </c>
      <c r="BR36" s="70"/>
      <c r="BS36" s="70"/>
      <c r="BT36" s="70"/>
      <c r="BU36" s="70"/>
      <c r="BV36" s="70"/>
      <c r="BW36" s="70"/>
      <c r="BX36" s="27"/>
      <c r="BY36" s="27"/>
      <c r="BZ36" s="27"/>
      <c r="CA36" s="27"/>
      <c r="CB36" s="27"/>
      <c r="CC36" s="27"/>
      <c r="CD36" s="27"/>
      <c r="CE36" s="27"/>
      <c r="CF36" s="69" t="s">
        <v>98</v>
      </c>
      <c r="CG36" s="69"/>
      <c r="CH36" s="69"/>
      <c r="CI36" s="27"/>
      <c r="CJ36" s="27"/>
      <c r="CK36" s="27"/>
    </row>
    <row r="37" spans="2:89" s="5" customFormat="1" ht="3.15" customHeight="1" x14ac:dyDescent="0.2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26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</row>
    <row r="38" spans="2:89" ht="8.85" customHeight="1" x14ac:dyDescent="0.2">
      <c r="B38" s="27"/>
      <c r="C38" s="67" t="s">
        <v>99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31"/>
      <c r="AX38" s="31"/>
      <c r="AY38" s="27"/>
      <c r="AZ38" s="27"/>
      <c r="BA38" s="27"/>
      <c r="BB38" s="27"/>
      <c r="BC38" s="27"/>
      <c r="BD38" s="27"/>
      <c r="BE38" s="26"/>
      <c r="BF38" s="67" t="s">
        <v>100</v>
      </c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31"/>
      <c r="CG38" s="31"/>
      <c r="CH38" s="31"/>
      <c r="CI38" s="27"/>
      <c r="CJ38" s="27"/>
      <c r="CK38" s="27"/>
    </row>
    <row r="39" spans="2:89" ht="8.85" customHeight="1" x14ac:dyDescent="0.2">
      <c r="B39" s="27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4" t="s">
        <v>101</v>
      </c>
      <c r="AX39" s="64"/>
      <c r="AY39" s="27"/>
      <c r="AZ39" s="27"/>
      <c r="BA39" s="27"/>
      <c r="BB39" s="27"/>
      <c r="BC39" s="27"/>
      <c r="BD39" s="27"/>
      <c r="BE39" s="26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4" t="s">
        <v>102</v>
      </c>
      <c r="CG39" s="64"/>
      <c r="CH39" s="64"/>
      <c r="CI39" s="27"/>
      <c r="CJ39" s="27"/>
      <c r="CK39" s="27"/>
    </row>
    <row r="40" spans="2:89" s="5" customFormat="1" ht="5.55" customHeight="1" x14ac:dyDescent="0.2">
      <c r="B40" s="14"/>
      <c r="C40" s="65" t="s">
        <v>103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4"/>
      <c r="AX40" s="64"/>
      <c r="AY40" s="14"/>
      <c r="AZ40" s="14"/>
      <c r="BA40" s="14"/>
      <c r="BB40" s="14"/>
      <c r="BC40" s="14"/>
      <c r="BD40" s="14"/>
      <c r="BE40" s="26"/>
      <c r="BF40" s="65" t="s">
        <v>104</v>
      </c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4"/>
      <c r="CG40" s="64"/>
      <c r="CH40" s="64"/>
      <c r="CI40" s="14"/>
      <c r="CJ40" s="14"/>
      <c r="CK40" s="14"/>
    </row>
    <row r="41" spans="2:89" ht="8.85" customHeight="1" x14ac:dyDescent="0.2">
      <c r="B41" s="27"/>
      <c r="C41" s="67" t="s">
        <v>105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31"/>
      <c r="AX41" s="31"/>
      <c r="AY41" s="27"/>
      <c r="AZ41" s="27"/>
      <c r="BA41" s="27"/>
      <c r="BB41" s="27"/>
      <c r="BC41" s="27"/>
      <c r="BD41" s="27"/>
      <c r="BE41" s="26"/>
      <c r="BF41" s="67" t="s">
        <v>105</v>
      </c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31"/>
      <c r="CG41" s="31"/>
      <c r="CH41" s="31"/>
      <c r="CI41" s="27"/>
      <c r="CJ41" s="27"/>
      <c r="CK41" s="27"/>
    </row>
    <row r="42" spans="2:89" ht="8.85" customHeight="1" x14ac:dyDescent="0.2">
      <c r="B42" s="27"/>
      <c r="C42" s="68"/>
      <c r="D42" s="68"/>
      <c r="E42" s="68"/>
      <c r="F42" s="68"/>
      <c r="G42" s="68"/>
      <c r="H42" s="68"/>
      <c r="I42" s="68"/>
      <c r="J42" s="68"/>
      <c r="K42" s="27"/>
      <c r="L42" s="27"/>
      <c r="M42" s="27"/>
      <c r="N42" s="27"/>
      <c r="O42" s="27"/>
      <c r="P42" s="27"/>
      <c r="Q42" s="28"/>
      <c r="R42" s="28"/>
      <c r="S42" s="28"/>
      <c r="T42" s="2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27"/>
      <c r="AF42" s="27"/>
      <c r="AG42" s="27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4" t="s">
        <v>106</v>
      </c>
      <c r="AX42" s="64"/>
      <c r="AY42" s="27"/>
      <c r="AZ42" s="27"/>
      <c r="BA42" s="27"/>
      <c r="BB42" s="27"/>
      <c r="BC42" s="27"/>
      <c r="BD42" s="27"/>
      <c r="BE42" s="26"/>
      <c r="BF42" s="28"/>
      <c r="BG42" s="28"/>
      <c r="BH42" s="28"/>
      <c r="BI42" s="28"/>
      <c r="BJ42" s="28"/>
      <c r="BK42" s="28"/>
      <c r="BL42" s="28"/>
      <c r="BM42" s="28"/>
      <c r="BN42" s="28"/>
      <c r="BO42" s="27"/>
      <c r="BP42" s="27"/>
      <c r="BQ42" s="68"/>
      <c r="BR42" s="68"/>
      <c r="BS42" s="68"/>
      <c r="BT42" s="68"/>
      <c r="BU42" s="68"/>
      <c r="BV42" s="68"/>
      <c r="BW42" s="68"/>
      <c r="BX42" s="27"/>
      <c r="BY42" s="27"/>
      <c r="BZ42" s="28"/>
      <c r="CA42" s="28"/>
      <c r="CB42" s="28"/>
      <c r="CC42" s="28"/>
      <c r="CD42" s="28"/>
      <c r="CE42" s="28"/>
      <c r="CF42" s="64" t="s">
        <v>107</v>
      </c>
      <c r="CG42" s="64"/>
      <c r="CH42" s="64"/>
      <c r="CI42" s="27"/>
      <c r="CJ42" s="27"/>
      <c r="CK42" s="27"/>
    </row>
    <row r="43" spans="2:89" s="5" customFormat="1" ht="5.55" customHeight="1" x14ac:dyDescent="0.2">
      <c r="B43" s="14"/>
      <c r="C43" s="65" t="s">
        <v>93</v>
      </c>
      <c r="D43" s="65"/>
      <c r="E43" s="65"/>
      <c r="F43" s="65"/>
      <c r="G43" s="65"/>
      <c r="H43" s="65"/>
      <c r="I43" s="65"/>
      <c r="J43" s="65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65" t="s">
        <v>79</v>
      </c>
      <c r="V43" s="65"/>
      <c r="W43" s="65"/>
      <c r="X43" s="65"/>
      <c r="Y43" s="65"/>
      <c r="Z43" s="65"/>
      <c r="AA43" s="65"/>
      <c r="AB43" s="65"/>
      <c r="AC43" s="65"/>
      <c r="AD43" s="65"/>
      <c r="AE43" s="14"/>
      <c r="AF43" s="14"/>
      <c r="AG43" s="14"/>
      <c r="AH43" s="65" t="s">
        <v>80</v>
      </c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4"/>
      <c r="AX43" s="64"/>
      <c r="AY43" s="14"/>
      <c r="AZ43" s="14"/>
      <c r="BA43" s="14"/>
      <c r="BB43" s="14"/>
      <c r="BC43" s="14"/>
      <c r="BD43" s="14"/>
      <c r="BE43" s="26"/>
      <c r="BF43" s="65" t="s">
        <v>93</v>
      </c>
      <c r="BG43" s="65"/>
      <c r="BH43" s="65"/>
      <c r="BI43" s="65"/>
      <c r="BJ43" s="65"/>
      <c r="BK43" s="65"/>
      <c r="BL43" s="65"/>
      <c r="BM43" s="65"/>
      <c r="BN43" s="65"/>
      <c r="BO43" s="14"/>
      <c r="BP43" s="14"/>
      <c r="BQ43" s="65" t="s">
        <v>79</v>
      </c>
      <c r="BR43" s="65"/>
      <c r="BS43" s="65"/>
      <c r="BT43" s="65"/>
      <c r="BU43" s="65"/>
      <c r="BV43" s="65"/>
      <c r="BW43" s="65"/>
      <c r="BX43" s="14"/>
      <c r="BY43" s="14"/>
      <c r="BZ43" s="65" t="s">
        <v>80</v>
      </c>
      <c r="CA43" s="65"/>
      <c r="CB43" s="65"/>
      <c r="CC43" s="65"/>
      <c r="CD43" s="65"/>
      <c r="CE43" s="65"/>
      <c r="CF43" s="64"/>
      <c r="CG43" s="64"/>
      <c r="CH43" s="64"/>
      <c r="CI43" s="14"/>
      <c r="CJ43" s="14"/>
      <c r="CK43" s="14"/>
    </row>
    <row r="44" spans="2:89" ht="8.85" customHeight="1" x14ac:dyDescent="0.2">
      <c r="B44" s="27"/>
      <c r="C44" s="67" t="s">
        <v>108</v>
      </c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31"/>
      <c r="AX44" s="31"/>
      <c r="AY44" s="27"/>
      <c r="AZ44" s="27"/>
      <c r="BA44" s="27"/>
      <c r="BB44" s="27"/>
      <c r="BC44" s="27"/>
      <c r="BD44" s="27"/>
      <c r="BE44" s="26"/>
      <c r="BF44" s="67" t="s">
        <v>109</v>
      </c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31"/>
      <c r="CG44" s="31"/>
      <c r="CH44" s="31"/>
      <c r="CI44" s="27"/>
      <c r="CJ44" s="27"/>
      <c r="CK44" s="27"/>
    </row>
    <row r="45" spans="2:89" ht="18.45" customHeight="1" x14ac:dyDescent="0.2">
      <c r="B45" s="27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4" t="s">
        <v>110</v>
      </c>
      <c r="AX45" s="64"/>
      <c r="AY45" s="27"/>
      <c r="AZ45" s="27"/>
      <c r="BA45" s="27"/>
      <c r="BB45" s="27"/>
      <c r="BC45" s="27"/>
      <c r="BD45" s="27"/>
      <c r="BE45" s="26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4" t="s">
        <v>111</v>
      </c>
      <c r="CG45" s="64"/>
      <c r="CH45" s="64"/>
      <c r="CI45" s="27"/>
      <c r="CJ45" s="27"/>
      <c r="CK45" s="27"/>
    </row>
    <row r="46" spans="2:89" s="5" customFormat="1" ht="5.55" customHeight="1" x14ac:dyDescent="0.2">
      <c r="B46" s="14"/>
      <c r="C46" s="65" t="s">
        <v>112</v>
      </c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4"/>
      <c r="AX46" s="64"/>
      <c r="AY46" s="14"/>
      <c r="AZ46" s="14"/>
      <c r="BA46" s="14"/>
      <c r="BB46" s="14"/>
      <c r="BC46" s="14"/>
      <c r="BD46" s="14"/>
      <c r="BE46" s="26"/>
      <c r="BF46" s="65" t="s">
        <v>112</v>
      </c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4"/>
      <c r="CG46" s="64"/>
      <c r="CH46" s="64"/>
      <c r="CI46" s="14"/>
      <c r="CJ46" s="14"/>
      <c r="CK46" s="14"/>
    </row>
    <row r="47" spans="2:89" ht="8.85" customHeight="1" x14ac:dyDescent="0.2">
      <c r="B47" s="27"/>
      <c r="C47" s="66" t="s">
        <v>113</v>
      </c>
      <c r="D47" s="66"/>
      <c r="E47" s="66"/>
      <c r="F47" s="66"/>
      <c r="G47" s="66"/>
      <c r="H47" s="66"/>
      <c r="I47" s="66"/>
      <c r="J47" s="66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31"/>
      <c r="AX47" s="31"/>
      <c r="AY47" s="27"/>
      <c r="AZ47" s="27"/>
      <c r="BA47" s="27"/>
      <c r="BB47" s="27"/>
      <c r="BC47" s="27"/>
      <c r="BD47" s="27"/>
      <c r="BE47" s="26"/>
      <c r="BF47" s="66" t="s">
        <v>113</v>
      </c>
      <c r="BG47" s="66"/>
      <c r="BH47" s="66"/>
      <c r="BI47" s="66"/>
      <c r="BJ47" s="66"/>
      <c r="BK47" s="66"/>
      <c r="BL47" s="66"/>
      <c r="BM47" s="66"/>
      <c r="BN47" s="66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31"/>
      <c r="CG47" s="31"/>
      <c r="CH47" s="31"/>
      <c r="CI47" s="27"/>
      <c r="CJ47" s="27"/>
      <c r="CK47" s="27"/>
    </row>
  </sheetData>
  <mergeCells count="287">
    <mergeCell ref="CG5:CI5"/>
    <mergeCell ref="B1:E3"/>
    <mergeCell ref="H1:N1"/>
    <mergeCell ref="O1:U1"/>
    <mergeCell ref="V1:W1"/>
    <mergeCell ref="X1:AG1"/>
    <mergeCell ref="AH1:AL1"/>
    <mergeCell ref="BA1:CH3"/>
    <mergeCell ref="H2:N2"/>
    <mergeCell ref="O2:U2"/>
    <mergeCell ref="AH2:AL2"/>
    <mergeCell ref="B5:C5"/>
    <mergeCell ref="G5:R5"/>
    <mergeCell ref="S5:BF5"/>
    <mergeCell ref="BG5:BH5"/>
    <mergeCell ref="BI5:BO5"/>
    <mergeCell ref="G4:R4"/>
    <mergeCell ref="S4:BF4"/>
    <mergeCell ref="BG4:BH4"/>
    <mergeCell ref="BI4:BO4"/>
    <mergeCell ref="CG4:CI4"/>
    <mergeCell ref="CG7:CI7"/>
    <mergeCell ref="G6:R6"/>
    <mergeCell ref="S6:BF6"/>
    <mergeCell ref="BG6:BH6"/>
    <mergeCell ref="BI6:BO6"/>
    <mergeCell ref="CG6:CI6"/>
    <mergeCell ref="CG8:CI9"/>
    <mergeCell ref="G9:R9"/>
    <mergeCell ref="S9:BF9"/>
    <mergeCell ref="BG9:BH9"/>
    <mergeCell ref="G8:R8"/>
    <mergeCell ref="S8:BF8"/>
    <mergeCell ref="BG8:BH8"/>
    <mergeCell ref="BI8:BX9"/>
    <mergeCell ref="BY8:CF9"/>
    <mergeCell ref="B7:E10"/>
    <mergeCell ref="G7:R7"/>
    <mergeCell ref="BN12:BS13"/>
    <mergeCell ref="BT12:CB12"/>
    <mergeCell ref="CC12:CD13"/>
    <mergeCell ref="F11:S11"/>
    <mergeCell ref="B12:E13"/>
    <mergeCell ref="F12:H13"/>
    <mergeCell ref="I12:S13"/>
    <mergeCell ref="T12:V13"/>
    <mergeCell ref="W12:Y12"/>
    <mergeCell ref="Z12:AB13"/>
    <mergeCell ref="AC12:AM13"/>
    <mergeCell ref="AN12:AR13"/>
    <mergeCell ref="S7:BF7"/>
    <mergeCell ref="BG7:BH7"/>
    <mergeCell ref="BI7:BO7"/>
    <mergeCell ref="BS7:CF7"/>
    <mergeCell ref="G10:R10"/>
    <mergeCell ref="S10:BF10"/>
    <mergeCell ref="BG10:BH10"/>
    <mergeCell ref="BB14:BI14"/>
    <mergeCell ref="BJ14:BK14"/>
    <mergeCell ref="BL14:BM14"/>
    <mergeCell ref="BN14:BS14"/>
    <mergeCell ref="CE12:CK13"/>
    <mergeCell ref="X13:Y13"/>
    <mergeCell ref="BJ13:BK13"/>
    <mergeCell ref="BL13:BM13"/>
    <mergeCell ref="BT13:BU13"/>
    <mergeCell ref="BV13:CB13"/>
    <mergeCell ref="Z14:AB14"/>
    <mergeCell ref="AC14:AM14"/>
    <mergeCell ref="AN14:AR14"/>
    <mergeCell ref="AT14:AV14"/>
    <mergeCell ref="BJ12:BM12"/>
    <mergeCell ref="BT14:BU14"/>
    <mergeCell ref="AS12:AS13"/>
    <mergeCell ref="AT12:AV13"/>
    <mergeCell ref="AW12:BA13"/>
    <mergeCell ref="BB12:BI13"/>
    <mergeCell ref="AW15:BA15"/>
    <mergeCell ref="AW14:BA14"/>
    <mergeCell ref="F15:H15"/>
    <mergeCell ref="I15:S15"/>
    <mergeCell ref="T15:V15"/>
    <mergeCell ref="X15:Y15"/>
    <mergeCell ref="Z15:AB15"/>
    <mergeCell ref="B14:E14"/>
    <mergeCell ref="F14:H14"/>
    <mergeCell ref="I14:S14"/>
    <mergeCell ref="T14:V14"/>
    <mergeCell ref="X14:Y14"/>
    <mergeCell ref="BN15:BS15"/>
    <mergeCell ref="BT15:BU15"/>
    <mergeCell ref="BR24:BZ24"/>
    <mergeCell ref="CB24:CG24"/>
    <mergeCell ref="L25:X25"/>
    <mergeCell ref="BM25:CG25"/>
    <mergeCell ref="BB16:BI16"/>
    <mergeCell ref="BV16:CB16"/>
    <mergeCell ref="AC17:AM17"/>
    <mergeCell ref="AN17:AR17"/>
    <mergeCell ref="AT17:AV17"/>
    <mergeCell ref="AW17:BA17"/>
    <mergeCell ref="BV18:CB18"/>
    <mergeCell ref="CE18:CK18"/>
    <mergeCell ref="BB19:BI19"/>
    <mergeCell ref="BJ19:BK19"/>
    <mergeCell ref="BL19:BM19"/>
    <mergeCell ref="BN19:BS19"/>
    <mergeCell ref="BT19:BU19"/>
    <mergeCell ref="BV19:CB19"/>
    <mergeCell ref="CC19:CD19"/>
    <mergeCell ref="AC15:AM15"/>
    <mergeCell ref="AN15:AR15"/>
    <mergeCell ref="AT15:AV15"/>
    <mergeCell ref="Y26:AF26"/>
    <mergeCell ref="AK26:AW26"/>
    <mergeCell ref="BM26:CG26"/>
    <mergeCell ref="C33:AV33"/>
    <mergeCell ref="BF33:CE33"/>
    <mergeCell ref="F21:S21"/>
    <mergeCell ref="AC21:AM21"/>
    <mergeCell ref="AN21:AR21"/>
    <mergeCell ref="AS21:AV21"/>
    <mergeCell ref="AW21:BA21"/>
    <mergeCell ref="BB21:BI21"/>
    <mergeCell ref="BJ21:CK21"/>
    <mergeCell ref="B23:E26"/>
    <mergeCell ref="L23:X23"/>
    <mergeCell ref="AK23:AW23"/>
    <mergeCell ref="BK23:BQ23"/>
    <mergeCell ref="CB23:CG23"/>
    <mergeCell ref="Y24:AF24"/>
    <mergeCell ref="AK24:AW24"/>
    <mergeCell ref="AA27:CE28"/>
    <mergeCell ref="CF27:CH29"/>
    <mergeCell ref="C28:Z28"/>
    <mergeCell ref="AA29:CE29"/>
    <mergeCell ref="C30:V30"/>
    <mergeCell ref="W30:CE30"/>
    <mergeCell ref="CF30:CH31"/>
    <mergeCell ref="W31:CE31"/>
    <mergeCell ref="U34:AD34"/>
    <mergeCell ref="AW34:AX35"/>
    <mergeCell ref="BQ34:BW34"/>
    <mergeCell ref="CF34:CH35"/>
    <mergeCell ref="C35:J35"/>
    <mergeCell ref="U35:AD35"/>
    <mergeCell ref="AH35:AV35"/>
    <mergeCell ref="BF35:BN35"/>
    <mergeCell ref="BQ35:BW35"/>
    <mergeCell ref="BZ35:CE35"/>
    <mergeCell ref="CF36:CH36"/>
    <mergeCell ref="C38:AV38"/>
    <mergeCell ref="BF38:CE38"/>
    <mergeCell ref="C39:AV39"/>
    <mergeCell ref="AW39:AX40"/>
    <mergeCell ref="BF39:CE39"/>
    <mergeCell ref="CF39:CH40"/>
    <mergeCell ref="C40:AV40"/>
    <mergeCell ref="BF40:CE40"/>
    <mergeCell ref="C36:V36"/>
    <mergeCell ref="W36:AD36"/>
    <mergeCell ref="AW36:AX36"/>
    <mergeCell ref="BF36:BN36"/>
    <mergeCell ref="BQ36:BW36"/>
    <mergeCell ref="CF42:CH43"/>
    <mergeCell ref="C43:J43"/>
    <mergeCell ref="U43:AD43"/>
    <mergeCell ref="AH43:AV43"/>
    <mergeCell ref="BF43:BN43"/>
    <mergeCell ref="BQ43:BW43"/>
    <mergeCell ref="BZ43:CE43"/>
    <mergeCell ref="C41:AV41"/>
    <mergeCell ref="BF41:CE41"/>
    <mergeCell ref="C42:J42"/>
    <mergeCell ref="U42:AD42"/>
    <mergeCell ref="AH42:AV42"/>
    <mergeCell ref="AW42:AX43"/>
    <mergeCell ref="BQ42:BW42"/>
    <mergeCell ref="CF45:CH46"/>
    <mergeCell ref="C46:AV46"/>
    <mergeCell ref="BF46:CE46"/>
    <mergeCell ref="C47:J47"/>
    <mergeCell ref="BF47:BN47"/>
    <mergeCell ref="C44:AV44"/>
    <mergeCell ref="BF44:CE44"/>
    <mergeCell ref="C45:AV45"/>
    <mergeCell ref="AW45:AX46"/>
    <mergeCell ref="BF45:CE45"/>
    <mergeCell ref="FE15:FK15"/>
    <mergeCell ref="FL15:FM15"/>
    <mergeCell ref="FN15:FT15"/>
    <mergeCell ref="BJ16:BK16"/>
    <mergeCell ref="CO15:CQ15"/>
    <mergeCell ref="CR15:DB15"/>
    <mergeCell ref="DC15:DE15"/>
    <mergeCell ref="DG15:DH15"/>
    <mergeCell ref="DI15:DK15"/>
    <mergeCell ref="DL15:DV15"/>
    <mergeCell ref="DW15:EA15"/>
    <mergeCell ref="EC15:EE15"/>
    <mergeCell ref="EF15:EJ15"/>
    <mergeCell ref="BV15:CB15"/>
    <mergeCell ref="CC15:CD15"/>
    <mergeCell ref="CE15:CK15"/>
    <mergeCell ref="EK15:ER15"/>
    <mergeCell ref="ES15:ET15"/>
    <mergeCell ref="EU15:EV15"/>
    <mergeCell ref="EW15:FB15"/>
    <mergeCell ref="FC15:FD15"/>
    <mergeCell ref="BL16:BM16"/>
    <mergeCell ref="BN16:BS16"/>
    <mergeCell ref="BT16:BU16"/>
    <mergeCell ref="F16:H16"/>
    <mergeCell ref="I16:S16"/>
    <mergeCell ref="T16:V16"/>
    <mergeCell ref="X16:Y16"/>
    <mergeCell ref="Z16:AB16"/>
    <mergeCell ref="AC16:AM16"/>
    <mergeCell ref="AN16:AR16"/>
    <mergeCell ref="AT16:AV16"/>
    <mergeCell ref="AW16:BA16"/>
    <mergeCell ref="F17:H17"/>
    <mergeCell ref="I17:S17"/>
    <mergeCell ref="T17:V17"/>
    <mergeCell ref="X17:Y17"/>
    <mergeCell ref="Z17:AB17"/>
    <mergeCell ref="BJ18:BK18"/>
    <mergeCell ref="BL18:BM18"/>
    <mergeCell ref="BN18:BS18"/>
    <mergeCell ref="BT18:BU18"/>
    <mergeCell ref="AC18:AM18"/>
    <mergeCell ref="AN18:AR18"/>
    <mergeCell ref="AT18:AV18"/>
    <mergeCell ref="AW18:BA18"/>
    <mergeCell ref="BB18:BI18"/>
    <mergeCell ref="F18:H18"/>
    <mergeCell ref="I18:S18"/>
    <mergeCell ref="T18:V18"/>
    <mergeCell ref="X18:Y18"/>
    <mergeCell ref="Z18:AB18"/>
    <mergeCell ref="BB17:BI17"/>
    <mergeCell ref="BJ17:BK17"/>
    <mergeCell ref="BL17:BM17"/>
    <mergeCell ref="BN17:BS17"/>
    <mergeCell ref="BT17:BU17"/>
    <mergeCell ref="F19:H19"/>
    <mergeCell ref="I19:S19"/>
    <mergeCell ref="T19:V19"/>
    <mergeCell ref="X19:Y19"/>
    <mergeCell ref="Z19:AB19"/>
    <mergeCell ref="AC20:AM20"/>
    <mergeCell ref="AN20:AR20"/>
    <mergeCell ref="AT20:AV20"/>
    <mergeCell ref="AW20:BA20"/>
    <mergeCell ref="AC19:AM19"/>
    <mergeCell ref="AN19:AR19"/>
    <mergeCell ref="AT19:AV19"/>
    <mergeCell ref="AW19:BA19"/>
    <mergeCell ref="F20:H20"/>
    <mergeCell ref="I20:S20"/>
    <mergeCell ref="T20:V20"/>
    <mergeCell ref="X20:Y20"/>
    <mergeCell ref="Z20:AB20"/>
    <mergeCell ref="BB20:BI20"/>
    <mergeCell ref="BJ20:BK20"/>
    <mergeCell ref="BL20:BM20"/>
    <mergeCell ref="BN20:BS20"/>
    <mergeCell ref="BT20:BU20"/>
    <mergeCell ref="BV20:CB20"/>
    <mergeCell ref="CC20:CD20"/>
    <mergeCell ref="CE20:CK20"/>
    <mergeCell ref="BQ4:CF4"/>
    <mergeCell ref="BQ6:CF6"/>
    <mergeCell ref="BQ5:CF5"/>
    <mergeCell ref="CE19:CK19"/>
    <mergeCell ref="BV17:CB17"/>
    <mergeCell ref="CC17:CD17"/>
    <mergeCell ref="CE17:CK17"/>
    <mergeCell ref="CC18:CD18"/>
    <mergeCell ref="CC16:CD16"/>
    <mergeCell ref="CE16:CK16"/>
    <mergeCell ref="BV14:CB14"/>
    <mergeCell ref="CC14:CD14"/>
    <mergeCell ref="CE14:CK14"/>
    <mergeCell ref="BB15:BI15"/>
    <mergeCell ref="BJ15:BK15"/>
    <mergeCell ref="BL15:BM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T47"/>
  <sheetViews>
    <sheetView workbookViewId="0">
      <selection activeCell="CR15" sqref="CR15:DB15"/>
    </sheetView>
  </sheetViews>
  <sheetFormatPr defaultColWidth="10.42578125" defaultRowHeight="10.199999999999999" x14ac:dyDescent="0.2"/>
  <cols>
    <col min="1" max="1" width="1.140625" style="1" customWidth="1"/>
    <col min="2" max="2" width="0.7109375" style="1" customWidth="1"/>
    <col min="3" max="3" width="7.7109375" style="1" customWidth="1"/>
    <col min="4" max="4" width="3.42578125" style="1" customWidth="1"/>
    <col min="5" max="5" width="3.140625" style="1" customWidth="1"/>
    <col min="6" max="6" width="0.7109375" style="1" customWidth="1"/>
    <col min="7" max="7" width="0.42578125" style="1" customWidth="1"/>
    <col min="8" max="8" width="3.42578125" style="1" customWidth="1"/>
    <col min="9" max="9" width="5.85546875" style="1" customWidth="1"/>
    <col min="10" max="10" width="2.28515625" style="1" customWidth="1"/>
    <col min="11" max="11" width="0.28515625" style="1" customWidth="1"/>
    <col min="12" max="12" width="2" style="1" customWidth="1"/>
    <col min="13" max="13" width="1.85546875" style="1" customWidth="1"/>
    <col min="14" max="14" width="3.42578125" style="1" customWidth="1"/>
    <col min="15" max="15" width="3" style="1" customWidth="1"/>
    <col min="16" max="16" width="1.85546875" style="1" customWidth="1"/>
    <col min="17" max="17" width="2.28515625" style="1" customWidth="1"/>
    <col min="18" max="18" width="2.42578125" style="1" customWidth="1"/>
    <col min="19" max="19" width="0.140625" style="1" customWidth="1"/>
    <col min="20" max="20" width="5.42578125" style="1" customWidth="1"/>
    <col min="21" max="21" width="3" style="1" customWidth="1"/>
    <col min="22" max="22" width="0.7109375" style="1" customWidth="1"/>
    <col min="23" max="23" width="4.140625" style="1" customWidth="1"/>
    <col min="24" max="24" width="1.42578125" style="1" customWidth="1"/>
    <col min="25" max="25" width="7.7109375" style="1" customWidth="1"/>
    <col min="26" max="26" width="2" style="1" customWidth="1"/>
    <col min="27" max="27" width="0.28515625" style="1" customWidth="1"/>
    <col min="28" max="28" width="6.85546875" style="1" customWidth="1"/>
    <col min="29" max="29" width="0.7109375" style="1" customWidth="1"/>
    <col min="30" max="30" width="1.7109375" style="1" customWidth="1"/>
    <col min="31" max="31" width="0.28515625" style="1" customWidth="1"/>
    <col min="32" max="32" width="1.140625" style="1" customWidth="1"/>
    <col min="33" max="34" width="0.28515625" style="1" customWidth="1"/>
    <col min="35" max="35" width="0.85546875" style="1" customWidth="1"/>
    <col min="36" max="36" width="0.28515625" style="1" customWidth="1"/>
    <col min="37" max="37" width="2.7109375" style="1" customWidth="1"/>
    <col min="38" max="38" width="0.28515625" style="1" customWidth="1"/>
    <col min="39" max="39" width="0.140625" style="1" customWidth="1"/>
    <col min="40" max="41" width="2.28515625" style="1" customWidth="1"/>
    <col min="42" max="42" width="3.85546875" style="1" customWidth="1"/>
    <col min="43" max="43" width="1.85546875" style="1" customWidth="1"/>
    <col min="44" max="44" width="0.140625" style="1" customWidth="1"/>
    <col min="45" max="45" width="11.42578125" style="1" customWidth="1"/>
    <col min="46" max="47" width="1.85546875" style="1" customWidth="1"/>
    <col min="48" max="48" width="2.7109375" style="1" customWidth="1"/>
    <col min="49" max="49" width="0.28515625" style="2" customWidth="1"/>
    <col min="50" max="50" width="3.85546875" style="2" customWidth="1"/>
    <col min="51" max="52" width="1.85546875" style="1" customWidth="1"/>
    <col min="53" max="53" width="0.28515625" style="1" customWidth="1"/>
    <col min="54" max="54" width="2.7109375" style="1" customWidth="1"/>
    <col min="55" max="55" width="3.85546875" style="1" customWidth="1"/>
    <col min="56" max="57" width="1.140625" style="1" customWidth="1"/>
    <col min="58" max="58" width="0.85546875" style="1" customWidth="1"/>
    <col min="59" max="59" width="3.42578125" style="1" customWidth="1"/>
    <col min="60" max="60" width="0.42578125" style="1" customWidth="1"/>
    <col min="61" max="61" width="0.7109375" style="1" customWidth="1"/>
    <col min="62" max="62" width="0.42578125" style="1" customWidth="1"/>
    <col min="63" max="63" width="4.85546875" style="1" customWidth="1"/>
    <col min="64" max="64" width="1" style="1" customWidth="1"/>
    <col min="65" max="65" width="10.7109375" style="1" customWidth="1"/>
    <col min="66" max="66" width="3.140625" style="1" customWidth="1"/>
    <col min="67" max="67" width="1.28515625" style="1" customWidth="1"/>
    <col min="68" max="68" width="0.42578125" style="1" customWidth="1"/>
    <col min="69" max="69" width="6" style="1" customWidth="1"/>
    <col min="70" max="70" width="4.140625" style="1" customWidth="1"/>
    <col min="71" max="71" width="2.85546875" style="1" customWidth="1"/>
    <col min="72" max="73" width="2.28515625" style="1" customWidth="1"/>
    <col min="74" max="74" width="4.140625" style="1" customWidth="1"/>
    <col min="75" max="75" width="2.85546875" style="1" customWidth="1"/>
    <col min="76" max="76" width="1.42578125" style="1" customWidth="1"/>
    <col min="77" max="77" width="0.28515625" style="1" customWidth="1"/>
    <col min="78" max="78" width="0.140625" style="1" customWidth="1"/>
    <col min="79" max="79" width="1.85546875" style="1" customWidth="1"/>
    <col min="80" max="80" width="3.85546875" style="1" customWidth="1"/>
    <col min="81" max="81" width="1.42578125" style="1" customWidth="1"/>
    <col min="82" max="82" width="14.7109375" style="1" customWidth="1"/>
    <col min="83" max="83" width="8.140625" style="1" customWidth="1"/>
    <col min="84" max="84" width="0.7109375" style="3" customWidth="1"/>
    <col min="85" max="85" width="3" style="3" customWidth="1"/>
    <col min="86" max="86" width="0.42578125" style="3" customWidth="1"/>
    <col min="87" max="87" width="0.140625" style="1" customWidth="1"/>
    <col min="88" max="88" width="0.28515625" style="1" customWidth="1"/>
    <col min="89" max="89" width="0.140625" style="1" customWidth="1"/>
    <col min="90" max="90" width="10.28515625" style="1" customWidth="1"/>
    <col min="91" max="92" width="10.42578125" style="1" customWidth="1"/>
  </cols>
  <sheetData>
    <row r="1" spans="2:176" s="4" customFormat="1" ht="9.6" customHeight="1" x14ac:dyDescent="0.2">
      <c r="B1" s="111" t="s">
        <v>0</v>
      </c>
      <c r="C1" s="111"/>
      <c r="D1" s="111"/>
      <c r="E1" s="111"/>
      <c r="F1" s="7"/>
      <c r="G1" s="8"/>
      <c r="H1" s="103" t="s">
        <v>1</v>
      </c>
      <c r="I1" s="103"/>
      <c r="J1" s="103"/>
      <c r="K1" s="103"/>
      <c r="L1" s="103"/>
      <c r="M1" s="103"/>
      <c r="N1" s="103"/>
      <c r="O1" s="112" t="s">
        <v>170</v>
      </c>
      <c r="P1" s="112"/>
      <c r="Q1" s="112"/>
      <c r="R1" s="112"/>
      <c r="S1" s="112"/>
      <c r="T1" s="112"/>
      <c r="U1" s="112"/>
      <c r="V1" s="110" t="s">
        <v>2</v>
      </c>
      <c r="W1" s="110"/>
      <c r="X1" s="112" t="s">
        <v>171</v>
      </c>
      <c r="Y1" s="112"/>
      <c r="Z1" s="112"/>
      <c r="AA1" s="112"/>
      <c r="AB1" s="112"/>
      <c r="AC1" s="112"/>
      <c r="AD1" s="112"/>
      <c r="AE1" s="112"/>
      <c r="AF1" s="112"/>
      <c r="AG1" s="112"/>
      <c r="AH1" s="108" t="s">
        <v>3</v>
      </c>
      <c r="AI1" s="108"/>
      <c r="AJ1" s="108"/>
      <c r="AK1" s="108"/>
      <c r="AL1" s="10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113" t="s">
        <v>4</v>
      </c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8"/>
      <c r="CJ1" s="8"/>
      <c r="CK1" s="8"/>
    </row>
    <row r="2" spans="2:176" s="4" customFormat="1" ht="27.6" customHeight="1" x14ac:dyDescent="0.2">
      <c r="B2" s="111"/>
      <c r="C2" s="111"/>
      <c r="D2" s="111"/>
      <c r="E2" s="111"/>
      <c r="F2" s="7"/>
      <c r="G2" s="8"/>
      <c r="H2" s="103" t="s">
        <v>5</v>
      </c>
      <c r="I2" s="103"/>
      <c r="J2" s="103"/>
      <c r="K2" s="103"/>
      <c r="L2" s="103"/>
      <c r="M2" s="103"/>
      <c r="N2" s="103"/>
      <c r="O2" s="112" t="s">
        <v>6</v>
      </c>
      <c r="P2" s="112"/>
      <c r="Q2" s="112"/>
      <c r="R2" s="112"/>
      <c r="S2" s="112"/>
      <c r="T2" s="112"/>
      <c r="U2" s="112"/>
      <c r="V2" s="9" t="s">
        <v>2</v>
      </c>
      <c r="W2" s="9"/>
      <c r="X2" s="10" t="s">
        <v>6</v>
      </c>
      <c r="Y2" s="10"/>
      <c r="Z2" s="10"/>
      <c r="AA2" s="10"/>
      <c r="AB2" s="10"/>
      <c r="AC2" s="10"/>
      <c r="AD2" s="10"/>
      <c r="AE2" s="10"/>
      <c r="AF2" s="10"/>
      <c r="AG2" s="10"/>
      <c r="AH2" s="108" t="s">
        <v>7</v>
      </c>
      <c r="AI2" s="108"/>
      <c r="AJ2" s="108"/>
      <c r="AK2" s="108"/>
      <c r="AL2" s="10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4"/>
      <c r="BU2" s="114"/>
      <c r="BV2" s="114"/>
      <c r="BW2" s="114"/>
      <c r="BX2" s="114"/>
      <c r="BY2" s="114"/>
      <c r="BZ2" s="114"/>
      <c r="CA2" s="114"/>
      <c r="CB2" s="114"/>
      <c r="CC2" s="114"/>
      <c r="CD2" s="114"/>
      <c r="CE2" s="114"/>
      <c r="CF2" s="114"/>
      <c r="CG2" s="114"/>
      <c r="CH2" s="114"/>
      <c r="CI2" s="8"/>
      <c r="CJ2" s="8"/>
      <c r="CK2" s="8"/>
    </row>
    <row r="3" spans="2:176" s="4" customFormat="1" ht="4.05" customHeight="1" x14ac:dyDescent="0.2">
      <c r="B3" s="111"/>
      <c r="C3" s="111"/>
      <c r="D3" s="111"/>
      <c r="E3" s="111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4"/>
      <c r="BV3" s="114"/>
      <c r="BW3" s="114"/>
      <c r="BX3" s="114"/>
      <c r="BY3" s="114"/>
      <c r="BZ3" s="114"/>
      <c r="CA3" s="114"/>
      <c r="CB3" s="114"/>
      <c r="CC3" s="114"/>
      <c r="CD3" s="114"/>
      <c r="CE3" s="114"/>
      <c r="CF3" s="114"/>
      <c r="CG3" s="114"/>
      <c r="CH3" s="114"/>
      <c r="CI3" s="8"/>
      <c r="CJ3" s="8"/>
      <c r="CK3" s="8"/>
    </row>
    <row r="4" spans="2:176" s="4" customFormat="1" ht="15.15" customHeight="1" x14ac:dyDescent="0.2">
      <c r="B4" s="8"/>
      <c r="C4" s="8"/>
      <c r="D4" s="8"/>
      <c r="E4" s="8"/>
      <c r="F4" s="7"/>
      <c r="G4" s="117" t="s">
        <v>8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6" t="s">
        <v>172</v>
      </c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08" t="s">
        <v>9</v>
      </c>
      <c r="BH4" s="108"/>
      <c r="BI4" s="118" t="s">
        <v>10</v>
      </c>
      <c r="BJ4" s="118"/>
      <c r="BK4" s="118"/>
      <c r="BL4" s="118"/>
      <c r="BM4" s="118"/>
      <c r="BN4" s="118"/>
      <c r="BO4" s="118"/>
      <c r="BP4" s="11"/>
      <c r="BQ4" s="46" t="s">
        <v>117</v>
      </c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108" t="s">
        <v>11</v>
      </c>
      <c r="CH4" s="108"/>
      <c r="CI4" s="108"/>
      <c r="CJ4" s="8"/>
      <c r="CK4" s="8"/>
    </row>
    <row r="5" spans="2:176" s="4" customFormat="1" ht="23.25" customHeight="1" x14ac:dyDescent="0.2">
      <c r="B5" s="115" t="s">
        <v>12</v>
      </c>
      <c r="C5" s="115"/>
      <c r="D5" s="12">
        <v>1</v>
      </c>
      <c r="E5" s="13"/>
      <c r="F5" s="7"/>
      <c r="G5" s="109" t="s">
        <v>13</v>
      </c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16" t="s">
        <v>173</v>
      </c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08" t="s">
        <v>14</v>
      </c>
      <c r="BH5" s="108"/>
      <c r="BI5" s="109" t="s">
        <v>13</v>
      </c>
      <c r="BJ5" s="109"/>
      <c r="BK5" s="109"/>
      <c r="BL5" s="109"/>
      <c r="BM5" s="109"/>
      <c r="BN5" s="109"/>
      <c r="BO5" s="109"/>
      <c r="BP5" s="11"/>
      <c r="BQ5" s="47" t="s">
        <v>119</v>
      </c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108" t="s">
        <v>15</v>
      </c>
      <c r="CH5" s="108"/>
      <c r="CI5" s="108"/>
      <c r="CJ5" s="8"/>
      <c r="CK5" s="8"/>
    </row>
    <row r="6" spans="2:176" s="4" customFormat="1" ht="8.85" customHeight="1" x14ac:dyDescent="0.2">
      <c r="B6" s="8"/>
      <c r="C6" s="8"/>
      <c r="D6" s="8"/>
      <c r="E6" s="8"/>
      <c r="F6" s="7"/>
      <c r="G6" s="109" t="s">
        <v>16</v>
      </c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7" t="s">
        <v>174</v>
      </c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8" t="s">
        <v>17</v>
      </c>
      <c r="BH6" s="108"/>
      <c r="BI6" s="109" t="s">
        <v>18</v>
      </c>
      <c r="BJ6" s="109"/>
      <c r="BK6" s="109"/>
      <c r="BL6" s="109"/>
      <c r="BM6" s="109"/>
      <c r="BN6" s="109"/>
      <c r="BO6" s="109"/>
      <c r="BP6" s="11"/>
      <c r="BQ6" s="47" t="s">
        <v>121</v>
      </c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108" t="s">
        <v>19</v>
      </c>
      <c r="CH6" s="108"/>
      <c r="CI6" s="108"/>
      <c r="CJ6" s="8"/>
      <c r="CK6" s="8"/>
    </row>
    <row r="7" spans="2:176" s="4" customFormat="1" ht="8.85" customHeight="1" x14ac:dyDescent="0.2">
      <c r="B7" s="102" t="s">
        <v>20</v>
      </c>
      <c r="C7" s="102"/>
      <c r="D7" s="102"/>
      <c r="E7" s="102"/>
      <c r="F7" s="7"/>
      <c r="G7" s="103" t="s">
        <v>21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7" t="s">
        <v>122</v>
      </c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8" t="s">
        <v>22</v>
      </c>
      <c r="BH7" s="108"/>
      <c r="BI7" s="103" t="s">
        <v>23</v>
      </c>
      <c r="BJ7" s="103"/>
      <c r="BK7" s="103"/>
      <c r="BL7" s="103"/>
      <c r="BM7" s="103"/>
      <c r="BN7" s="103"/>
      <c r="BO7" s="103"/>
      <c r="BP7" s="11"/>
      <c r="BQ7" s="11"/>
      <c r="BR7" s="11"/>
      <c r="BS7" s="107" t="s">
        <v>123</v>
      </c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8" t="s">
        <v>24</v>
      </c>
      <c r="CH7" s="108"/>
      <c r="CI7" s="108"/>
      <c r="CJ7" s="8"/>
      <c r="CK7" s="8"/>
    </row>
    <row r="8" spans="2:176" s="4" customFormat="1" ht="8.85" customHeight="1" x14ac:dyDescent="0.2">
      <c r="B8" s="102"/>
      <c r="C8" s="102"/>
      <c r="D8" s="102"/>
      <c r="E8" s="102"/>
      <c r="F8" s="7"/>
      <c r="G8" s="103" t="s">
        <v>25</v>
      </c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7" t="s">
        <v>124</v>
      </c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8" t="s">
        <v>26</v>
      </c>
      <c r="BH8" s="108"/>
      <c r="BI8" s="111" t="s">
        <v>27</v>
      </c>
      <c r="BJ8" s="111"/>
      <c r="BK8" s="111"/>
      <c r="BL8" s="111"/>
      <c r="BM8" s="111"/>
      <c r="BN8" s="111"/>
      <c r="BO8" s="111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1"/>
      <c r="CF8" s="111"/>
      <c r="CG8" s="108" t="s">
        <v>28</v>
      </c>
      <c r="CH8" s="108"/>
      <c r="CI8" s="108"/>
      <c r="CJ8" s="8"/>
      <c r="CK8" s="8"/>
    </row>
    <row r="9" spans="2:176" s="4" customFormat="1" ht="8.85" customHeight="1" x14ac:dyDescent="0.2">
      <c r="B9" s="102"/>
      <c r="C9" s="102"/>
      <c r="D9" s="102"/>
      <c r="E9" s="102"/>
      <c r="F9" s="7"/>
      <c r="G9" s="103" t="s">
        <v>29</v>
      </c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7" t="s">
        <v>175</v>
      </c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10" t="s">
        <v>30</v>
      </c>
      <c r="BH9" s="110"/>
      <c r="BI9" s="111"/>
      <c r="BJ9" s="111"/>
      <c r="BK9" s="111"/>
      <c r="BL9" s="111"/>
      <c r="BM9" s="111"/>
      <c r="BN9" s="111"/>
      <c r="BO9" s="111"/>
      <c r="BP9" s="111"/>
      <c r="BQ9" s="111"/>
      <c r="BR9" s="111"/>
      <c r="BS9" s="111"/>
      <c r="BT9" s="111"/>
      <c r="BU9" s="111"/>
      <c r="BV9" s="111"/>
      <c r="BW9" s="111"/>
      <c r="BX9" s="111"/>
      <c r="BY9" s="107"/>
      <c r="BZ9" s="107"/>
      <c r="CA9" s="107"/>
      <c r="CB9" s="107"/>
      <c r="CC9" s="107"/>
      <c r="CD9" s="107"/>
      <c r="CE9" s="107"/>
      <c r="CF9" s="107"/>
      <c r="CG9" s="108"/>
      <c r="CH9" s="108"/>
      <c r="CI9" s="108"/>
      <c r="CJ9" s="8"/>
      <c r="CK9" s="8"/>
    </row>
    <row r="10" spans="2:176" s="4" customFormat="1" ht="8.85" customHeight="1" x14ac:dyDescent="0.2">
      <c r="B10" s="102"/>
      <c r="C10" s="102"/>
      <c r="D10" s="102"/>
      <c r="E10" s="102"/>
      <c r="F10" s="7"/>
      <c r="G10" s="103" t="s">
        <v>31</v>
      </c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7" t="s">
        <v>176</v>
      </c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10" t="s">
        <v>32</v>
      </c>
      <c r="BH10" s="110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</row>
    <row r="11" spans="2:176" s="5" customFormat="1" ht="3.15" customHeight="1" x14ac:dyDescent="0.2">
      <c r="B11" s="14"/>
      <c r="C11" s="14"/>
      <c r="D11" s="14"/>
      <c r="E11" s="1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</row>
    <row r="12" spans="2:176" s="1" customFormat="1" ht="65.55" customHeight="1" x14ac:dyDescent="0.2">
      <c r="B12" s="97" t="s">
        <v>33</v>
      </c>
      <c r="C12" s="97"/>
      <c r="D12" s="97"/>
      <c r="E12" s="97"/>
      <c r="F12" s="105" t="s">
        <v>34</v>
      </c>
      <c r="G12" s="105"/>
      <c r="H12" s="105"/>
      <c r="I12" s="100" t="s">
        <v>35</v>
      </c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 t="s">
        <v>36</v>
      </c>
      <c r="U12" s="100"/>
      <c r="V12" s="100"/>
      <c r="W12" s="94" t="s">
        <v>37</v>
      </c>
      <c r="X12" s="94"/>
      <c r="Y12" s="94"/>
      <c r="Z12" s="97" t="s">
        <v>38</v>
      </c>
      <c r="AA12" s="97"/>
      <c r="AB12" s="97"/>
      <c r="AC12" s="97" t="s">
        <v>39</v>
      </c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 t="s">
        <v>40</v>
      </c>
      <c r="AO12" s="97"/>
      <c r="AP12" s="97"/>
      <c r="AQ12" s="97"/>
      <c r="AR12" s="97"/>
      <c r="AS12" s="97" t="s">
        <v>41</v>
      </c>
      <c r="AT12" s="97" t="s">
        <v>42</v>
      </c>
      <c r="AU12" s="97"/>
      <c r="AV12" s="97"/>
      <c r="AW12" s="97" t="s">
        <v>43</v>
      </c>
      <c r="AX12" s="97"/>
      <c r="AY12" s="97"/>
      <c r="AZ12" s="97"/>
      <c r="BA12" s="97"/>
      <c r="BB12" s="100" t="s">
        <v>44</v>
      </c>
      <c r="BC12" s="100"/>
      <c r="BD12" s="100"/>
      <c r="BE12" s="100"/>
      <c r="BF12" s="100"/>
      <c r="BG12" s="100"/>
      <c r="BH12" s="100"/>
      <c r="BI12" s="100"/>
      <c r="BJ12" s="51" t="s">
        <v>45</v>
      </c>
      <c r="BK12" s="51"/>
      <c r="BL12" s="51"/>
      <c r="BM12" s="51"/>
      <c r="BN12" s="100" t="s">
        <v>46</v>
      </c>
      <c r="BO12" s="100"/>
      <c r="BP12" s="100"/>
      <c r="BQ12" s="100"/>
      <c r="BR12" s="100"/>
      <c r="BS12" s="100"/>
      <c r="BT12" s="96" t="s">
        <v>47</v>
      </c>
      <c r="BU12" s="96"/>
      <c r="BV12" s="96"/>
      <c r="BW12" s="96"/>
      <c r="BX12" s="96"/>
      <c r="BY12" s="96"/>
      <c r="BZ12" s="96"/>
      <c r="CA12" s="96"/>
      <c r="CB12" s="96"/>
      <c r="CC12" s="90" t="s">
        <v>48</v>
      </c>
      <c r="CD12" s="90"/>
      <c r="CE12" s="90" t="s">
        <v>49</v>
      </c>
      <c r="CF12" s="90"/>
      <c r="CG12" s="90"/>
      <c r="CH12" s="90"/>
      <c r="CI12" s="90"/>
      <c r="CJ12" s="90"/>
      <c r="CK12" s="90"/>
    </row>
    <row r="13" spans="2:176" s="1" customFormat="1" ht="65.55" customHeight="1" x14ac:dyDescent="0.2">
      <c r="B13" s="98"/>
      <c r="C13" s="99"/>
      <c r="D13" s="99"/>
      <c r="E13" s="99"/>
      <c r="F13" s="106"/>
      <c r="G13" s="99"/>
      <c r="H13" s="99"/>
      <c r="I13" s="98"/>
      <c r="J13" s="99"/>
      <c r="K13" s="99"/>
      <c r="L13" s="99"/>
      <c r="M13" s="99"/>
      <c r="N13" s="99"/>
      <c r="O13" s="99"/>
      <c r="P13" s="99"/>
      <c r="Q13" s="99"/>
      <c r="R13" s="99"/>
      <c r="S13" s="101"/>
      <c r="T13" s="98"/>
      <c r="U13" s="99"/>
      <c r="V13" s="101"/>
      <c r="W13" s="15" t="s">
        <v>50</v>
      </c>
      <c r="X13" s="94" t="s">
        <v>51</v>
      </c>
      <c r="Y13" s="94"/>
      <c r="Z13" s="98"/>
      <c r="AA13" s="99"/>
      <c r="AB13" s="99"/>
      <c r="AC13" s="98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8"/>
      <c r="AO13" s="99"/>
      <c r="AP13" s="99"/>
      <c r="AQ13" s="99"/>
      <c r="AR13" s="99"/>
      <c r="AS13" s="98"/>
      <c r="AT13" s="98"/>
      <c r="AU13" s="99"/>
      <c r="AV13" s="99"/>
      <c r="AW13" s="98"/>
      <c r="AX13" s="99"/>
      <c r="AY13" s="99"/>
      <c r="AZ13" s="99"/>
      <c r="BA13" s="99"/>
      <c r="BB13" s="98"/>
      <c r="BC13" s="99"/>
      <c r="BD13" s="99"/>
      <c r="BE13" s="99"/>
      <c r="BF13" s="99"/>
      <c r="BG13" s="99"/>
      <c r="BH13" s="99"/>
      <c r="BI13" s="101"/>
      <c r="BJ13" s="95" t="s">
        <v>52</v>
      </c>
      <c r="BK13" s="95"/>
      <c r="BL13" s="95" t="s">
        <v>53</v>
      </c>
      <c r="BM13" s="95"/>
      <c r="BN13" s="98"/>
      <c r="BO13" s="99"/>
      <c r="BP13" s="99"/>
      <c r="BQ13" s="99"/>
      <c r="BR13" s="99"/>
      <c r="BS13" s="101"/>
      <c r="BT13" s="96" t="s">
        <v>50</v>
      </c>
      <c r="BU13" s="96"/>
      <c r="BV13" s="96" t="s">
        <v>54</v>
      </c>
      <c r="BW13" s="96"/>
      <c r="BX13" s="96"/>
      <c r="BY13" s="96"/>
      <c r="BZ13" s="96"/>
      <c r="CA13" s="96"/>
      <c r="CB13" s="96"/>
      <c r="CC13" s="91"/>
      <c r="CD13" s="93"/>
      <c r="CE13" s="91"/>
      <c r="CF13" s="92"/>
      <c r="CG13" s="92"/>
      <c r="CH13" s="92"/>
      <c r="CI13" s="92"/>
      <c r="CJ13" s="92"/>
      <c r="CK13" s="93"/>
    </row>
    <row r="14" spans="2:176" s="1" customFormat="1" ht="8.85" customHeight="1" x14ac:dyDescent="0.2">
      <c r="B14" s="86" t="s">
        <v>55</v>
      </c>
      <c r="C14" s="86"/>
      <c r="D14" s="86"/>
      <c r="E14" s="86"/>
      <c r="F14" s="87" t="s">
        <v>56</v>
      </c>
      <c r="G14" s="87"/>
      <c r="H14" s="87"/>
      <c r="I14" s="88" t="s">
        <v>57</v>
      </c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 t="s">
        <v>58</v>
      </c>
      <c r="U14" s="88"/>
      <c r="V14" s="88"/>
      <c r="W14" s="16" t="s">
        <v>59</v>
      </c>
      <c r="X14" s="86" t="s">
        <v>60</v>
      </c>
      <c r="Y14" s="86"/>
      <c r="Z14" s="86" t="s">
        <v>61</v>
      </c>
      <c r="AA14" s="86"/>
      <c r="AB14" s="86"/>
      <c r="AC14" s="86" t="s">
        <v>62</v>
      </c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 t="s">
        <v>63</v>
      </c>
      <c r="AO14" s="86"/>
      <c r="AP14" s="86"/>
      <c r="AQ14" s="86"/>
      <c r="AR14" s="86"/>
      <c r="AS14" s="16" t="s">
        <v>64</v>
      </c>
      <c r="AT14" s="86" t="s">
        <v>65</v>
      </c>
      <c r="AU14" s="86"/>
      <c r="AV14" s="86"/>
      <c r="AW14" s="86" t="s">
        <v>66</v>
      </c>
      <c r="AX14" s="86"/>
      <c r="AY14" s="86"/>
      <c r="AZ14" s="86"/>
      <c r="BA14" s="86"/>
      <c r="BB14" s="89" t="s">
        <v>67</v>
      </c>
      <c r="BC14" s="89"/>
      <c r="BD14" s="89"/>
      <c r="BE14" s="89"/>
      <c r="BF14" s="89"/>
      <c r="BG14" s="89"/>
      <c r="BH14" s="89"/>
      <c r="BI14" s="89"/>
      <c r="BJ14" s="86" t="s">
        <v>68</v>
      </c>
      <c r="BK14" s="86"/>
      <c r="BL14" s="86" t="s">
        <v>69</v>
      </c>
      <c r="BM14" s="86"/>
      <c r="BN14" s="89" t="s">
        <v>70</v>
      </c>
      <c r="BO14" s="89"/>
      <c r="BP14" s="89"/>
      <c r="BQ14" s="89"/>
      <c r="BR14" s="89"/>
      <c r="BS14" s="89"/>
      <c r="BT14" s="48" t="s">
        <v>71</v>
      </c>
      <c r="BU14" s="48"/>
      <c r="BV14" s="48" t="s">
        <v>72</v>
      </c>
      <c r="BW14" s="48"/>
      <c r="BX14" s="48"/>
      <c r="BY14" s="48"/>
      <c r="BZ14" s="48"/>
      <c r="CA14" s="48"/>
      <c r="CB14" s="48"/>
      <c r="CC14" s="48" t="s">
        <v>73</v>
      </c>
      <c r="CD14" s="48"/>
      <c r="CE14" s="48" t="s">
        <v>74</v>
      </c>
      <c r="CF14" s="48"/>
      <c r="CG14" s="48"/>
      <c r="CH14" s="48"/>
      <c r="CI14" s="48"/>
      <c r="CJ14" s="48"/>
      <c r="CK14" s="48"/>
    </row>
    <row r="15" spans="2:176" s="6" customFormat="1" ht="31.95" customHeight="1" x14ac:dyDescent="0.2">
      <c r="B15" s="17" t="s">
        <v>177</v>
      </c>
      <c r="C15" s="18"/>
      <c r="D15" s="18"/>
      <c r="E15" s="19"/>
      <c r="F15" s="49">
        <v>1</v>
      </c>
      <c r="G15" s="49"/>
      <c r="H15" s="49"/>
      <c r="I15" s="50" t="s">
        <v>178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43" t="s">
        <v>129</v>
      </c>
      <c r="U15" s="43"/>
      <c r="V15" s="43"/>
      <c r="W15" s="41">
        <v>166</v>
      </c>
      <c r="X15" s="51" t="s">
        <v>130</v>
      </c>
      <c r="Y15" s="51"/>
      <c r="Z15" s="52">
        <v>32</v>
      </c>
      <c r="AA15" s="53"/>
      <c r="AB15" s="54"/>
      <c r="AC15" s="55">
        <v>110</v>
      </c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>
        <f t="shared" ref="AN15:AN20" si="0">ROUND(Z15*AC15,2)</f>
        <v>3520</v>
      </c>
      <c r="AO15" s="56"/>
      <c r="AP15" s="56"/>
      <c r="AQ15" s="56"/>
      <c r="AR15" s="56"/>
      <c r="AS15" s="32" t="s">
        <v>131</v>
      </c>
      <c r="AT15" s="57">
        <v>0.1</v>
      </c>
      <c r="AU15" s="58"/>
      <c r="AV15" s="59"/>
      <c r="AW15" s="60">
        <f t="shared" ref="AW15:AW20" si="1">ROUND(AN15*AT15,2)</f>
        <v>352</v>
      </c>
      <c r="AX15" s="61"/>
      <c r="AY15" s="61"/>
      <c r="AZ15" s="61"/>
      <c r="BA15" s="61"/>
      <c r="BB15" s="56">
        <f>ROUND(AN15+AW15,2)</f>
        <v>3872</v>
      </c>
      <c r="BC15" s="56"/>
      <c r="BD15" s="56"/>
      <c r="BE15" s="56"/>
      <c r="BF15" s="56"/>
      <c r="BG15" s="56"/>
      <c r="BH15" s="56"/>
      <c r="BI15" s="56"/>
      <c r="BJ15" s="43">
        <v>643</v>
      </c>
      <c r="BK15" s="43"/>
      <c r="BL15" s="43" t="s">
        <v>132</v>
      </c>
      <c r="BM15" s="43"/>
      <c r="BN15" s="43"/>
      <c r="BO15" s="43"/>
      <c r="BP15" s="43"/>
      <c r="BQ15" s="43"/>
      <c r="BR15" s="43"/>
      <c r="BS15" s="43"/>
      <c r="BT15" s="44"/>
      <c r="BU15" s="44"/>
      <c r="BV15" s="44"/>
      <c r="BW15" s="44"/>
      <c r="BX15" s="44"/>
      <c r="BY15" s="44"/>
      <c r="BZ15" s="44"/>
      <c r="CA15" s="44"/>
      <c r="CB15" s="44"/>
      <c r="CC15" s="45"/>
      <c r="CD15" s="45"/>
      <c r="CE15" s="45"/>
      <c r="CF15" s="45"/>
      <c r="CG15" s="45"/>
      <c r="CH15" s="45"/>
      <c r="CI15" s="45"/>
      <c r="CJ15" s="45"/>
      <c r="CK15" s="45"/>
      <c r="CL15" s="18"/>
      <c r="CM15" s="18"/>
      <c r="CN15" s="19"/>
      <c r="CO15" s="49"/>
      <c r="CP15" s="49"/>
      <c r="CQ15" s="49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20"/>
      <c r="DG15" s="43"/>
      <c r="DH15" s="43"/>
      <c r="DI15" s="62"/>
      <c r="DJ15" s="62"/>
      <c r="DK15" s="62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1"/>
      <c r="DX15" s="61"/>
      <c r="DY15" s="61"/>
      <c r="DZ15" s="61"/>
      <c r="EA15" s="61"/>
      <c r="EB15" s="21"/>
      <c r="EC15" s="43"/>
      <c r="ED15" s="43"/>
      <c r="EE15" s="43"/>
      <c r="EF15" s="61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4"/>
      <c r="FD15" s="44"/>
      <c r="FE15" s="44"/>
      <c r="FF15" s="44"/>
      <c r="FG15" s="44"/>
      <c r="FH15" s="44"/>
      <c r="FI15" s="44"/>
      <c r="FJ15" s="44"/>
      <c r="FK15" s="44"/>
      <c r="FL15" s="45"/>
      <c r="FM15" s="45"/>
      <c r="FN15" s="45"/>
      <c r="FO15" s="45"/>
      <c r="FP15" s="45"/>
      <c r="FQ15" s="45"/>
      <c r="FR15" s="45"/>
      <c r="FS15" s="45"/>
      <c r="FT15" s="45"/>
    </row>
    <row r="16" spans="2:176" s="6" customFormat="1" ht="31.95" customHeight="1" x14ac:dyDescent="0.2">
      <c r="B16" s="17" t="s">
        <v>179</v>
      </c>
      <c r="C16" s="18"/>
      <c r="D16" s="18"/>
      <c r="E16" s="19"/>
      <c r="F16" s="49">
        <v>2</v>
      </c>
      <c r="G16" s="49"/>
      <c r="H16" s="49"/>
      <c r="I16" s="50" t="s">
        <v>180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43" t="s">
        <v>129</v>
      </c>
      <c r="U16" s="43"/>
      <c r="V16" s="43"/>
      <c r="W16" s="41">
        <v>166</v>
      </c>
      <c r="X16" s="51" t="s">
        <v>130</v>
      </c>
      <c r="Y16" s="51"/>
      <c r="Z16" s="52">
        <v>25</v>
      </c>
      <c r="AA16" s="53"/>
      <c r="AB16" s="54"/>
      <c r="AC16" s="55">
        <v>120</v>
      </c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>
        <f t="shared" si="0"/>
        <v>3000</v>
      </c>
      <c r="AO16" s="56"/>
      <c r="AP16" s="56"/>
      <c r="AQ16" s="56"/>
      <c r="AR16" s="56"/>
      <c r="AS16" s="32" t="s">
        <v>131</v>
      </c>
      <c r="AT16" s="57">
        <v>0.1</v>
      </c>
      <c r="AU16" s="58"/>
      <c r="AV16" s="59"/>
      <c r="AW16" s="60">
        <f t="shared" si="1"/>
        <v>300</v>
      </c>
      <c r="AX16" s="61"/>
      <c r="AY16" s="61"/>
      <c r="AZ16" s="61"/>
      <c r="BA16" s="61"/>
      <c r="BB16" s="56">
        <f t="shared" ref="BB16:BB20" si="2">ROUND(AN16+AW16,2)</f>
        <v>3300</v>
      </c>
      <c r="BC16" s="56"/>
      <c r="BD16" s="56"/>
      <c r="BE16" s="56"/>
      <c r="BF16" s="56"/>
      <c r="BG16" s="56"/>
      <c r="BH16" s="56"/>
      <c r="BI16" s="56"/>
      <c r="BJ16" s="43">
        <v>643</v>
      </c>
      <c r="BK16" s="43"/>
      <c r="BL16" s="43" t="s">
        <v>132</v>
      </c>
      <c r="BM16" s="43"/>
      <c r="BN16" s="43"/>
      <c r="BO16" s="43"/>
      <c r="BP16" s="43"/>
      <c r="BQ16" s="43"/>
      <c r="BR16" s="43"/>
      <c r="BS16" s="43"/>
      <c r="BT16" s="44"/>
      <c r="BU16" s="44"/>
      <c r="BV16" s="44"/>
      <c r="BW16" s="44"/>
      <c r="BX16" s="44"/>
      <c r="BY16" s="44"/>
      <c r="BZ16" s="44"/>
      <c r="CA16" s="44"/>
      <c r="CB16" s="44"/>
      <c r="CC16" s="45"/>
      <c r="CD16" s="45"/>
      <c r="CE16" s="45"/>
      <c r="CF16" s="45"/>
      <c r="CG16" s="45"/>
      <c r="CH16" s="45"/>
      <c r="CI16" s="45"/>
      <c r="CJ16" s="45"/>
      <c r="CK16" s="45"/>
      <c r="CL16" s="33"/>
      <c r="CM16" s="33"/>
      <c r="CN16" s="33"/>
      <c r="CO16" s="34"/>
      <c r="CP16" s="34"/>
      <c r="CQ16" s="34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5"/>
      <c r="DJ16" s="35"/>
      <c r="DK16" s="35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7"/>
      <c r="DX16" s="37"/>
      <c r="DY16" s="37"/>
      <c r="DZ16" s="37"/>
      <c r="EA16" s="37"/>
      <c r="EB16" s="38"/>
      <c r="EC16" s="33"/>
      <c r="ED16" s="33"/>
      <c r="EE16" s="33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9"/>
      <c r="FD16" s="39"/>
      <c r="FE16" s="39"/>
      <c r="FF16" s="39"/>
      <c r="FG16" s="39"/>
      <c r="FH16" s="39"/>
      <c r="FI16" s="39"/>
      <c r="FJ16" s="39"/>
      <c r="FK16" s="39"/>
      <c r="FL16" s="40"/>
      <c r="FM16" s="40"/>
      <c r="FN16" s="40"/>
      <c r="FO16" s="40"/>
      <c r="FP16" s="40"/>
      <c r="FQ16" s="40"/>
      <c r="FR16" s="40"/>
      <c r="FS16" s="40"/>
      <c r="FT16" s="40"/>
    </row>
    <row r="17" spans="2:176" s="6" customFormat="1" ht="31.95" customHeight="1" x14ac:dyDescent="0.2">
      <c r="B17" s="17" t="s">
        <v>181</v>
      </c>
      <c r="C17" s="18"/>
      <c r="D17" s="18"/>
      <c r="E17" s="19"/>
      <c r="F17" s="49">
        <v>3</v>
      </c>
      <c r="G17" s="49"/>
      <c r="H17" s="49"/>
      <c r="I17" s="50" t="s">
        <v>182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43" t="s">
        <v>129</v>
      </c>
      <c r="U17" s="43"/>
      <c r="V17" s="43"/>
      <c r="W17" s="41">
        <v>166</v>
      </c>
      <c r="X17" s="51" t="s">
        <v>130</v>
      </c>
      <c r="Y17" s="51"/>
      <c r="Z17" s="52">
        <v>50</v>
      </c>
      <c r="AA17" s="53"/>
      <c r="AB17" s="54"/>
      <c r="AC17" s="55">
        <v>56</v>
      </c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>
        <f t="shared" si="0"/>
        <v>2800</v>
      </c>
      <c r="AO17" s="56"/>
      <c r="AP17" s="56"/>
      <c r="AQ17" s="56"/>
      <c r="AR17" s="56"/>
      <c r="AS17" s="32" t="s">
        <v>131</v>
      </c>
      <c r="AT17" s="57">
        <v>0.1</v>
      </c>
      <c r="AU17" s="58"/>
      <c r="AV17" s="59"/>
      <c r="AW17" s="60">
        <f t="shared" si="1"/>
        <v>280</v>
      </c>
      <c r="AX17" s="61"/>
      <c r="AY17" s="61"/>
      <c r="AZ17" s="61"/>
      <c r="BA17" s="61"/>
      <c r="BB17" s="56">
        <f t="shared" si="2"/>
        <v>3080</v>
      </c>
      <c r="BC17" s="56"/>
      <c r="BD17" s="56"/>
      <c r="BE17" s="56"/>
      <c r="BF17" s="56"/>
      <c r="BG17" s="56"/>
      <c r="BH17" s="56"/>
      <c r="BI17" s="56"/>
      <c r="BJ17" s="43">
        <v>643</v>
      </c>
      <c r="BK17" s="43"/>
      <c r="BL17" s="43" t="s">
        <v>132</v>
      </c>
      <c r="BM17" s="43"/>
      <c r="BN17" s="43"/>
      <c r="BO17" s="43"/>
      <c r="BP17" s="43"/>
      <c r="BQ17" s="43"/>
      <c r="BR17" s="43"/>
      <c r="BS17" s="43"/>
      <c r="BT17" s="44"/>
      <c r="BU17" s="44"/>
      <c r="BV17" s="44"/>
      <c r="BW17" s="44"/>
      <c r="BX17" s="44"/>
      <c r="BY17" s="44"/>
      <c r="BZ17" s="44"/>
      <c r="CA17" s="44"/>
      <c r="CB17" s="44"/>
      <c r="CC17" s="45"/>
      <c r="CD17" s="45"/>
      <c r="CE17" s="45"/>
      <c r="CF17" s="45"/>
      <c r="CG17" s="45"/>
      <c r="CH17" s="45"/>
      <c r="CI17" s="45"/>
      <c r="CJ17" s="45"/>
      <c r="CK17" s="45"/>
      <c r="CL17" s="33"/>
      <c r="CM17" s="33"/>
      <c r="CN17" s="33"/>
      <c r="CO17" s="34"/>
      <c r="CP17" s="34"/>
      <c r="CQ17" s="34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5"/>
      <c r="DJ17" s="35"/>
      <c r="DK17" s="35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7"/>
      <c r="DX17" s="37"/>
      <c r="DY17" s="37"/>
      <c r="DZ17" s="37"/>
      <c r="EA17" s="37"/>
      <c r="EB17" s="38"/>
      <c r="EC17" s="33"/>
      <c r="ED17" s="33"/>
      <c r="EE17" s="33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9"/>
      <c r="FD17" s="39"/>
      <c r="FE17" s="39"/>
      <c r="FF17" s="39"/>
      <c r="FG17" s="39"/>
      <c r="FH17" s="39"/>
      <c r="FI17" s="39"/>
      <c r="FJ17" s="39"/>
      <c r="FK17" s="39"/>
      <c r="FL17" s="40"/>
      <c r="FM17" s="40"/>
      <c r="FN17" s="40"/>
      <c r="FO17" s="40"/>
      <c r="FP17" s="40"/>
      <c r="FQ17" s="40"/>
      <c r="FR17" s="40"/>
      <c r="FS17" s="40"/>
      <c r="FT17" s="40"/>
    </row>
    <row r="18" spans="2:176" s="6" customFormat="1" ht="31.95" customHeight="1" x14ac:dyDescent="0.2">
      <c r="B18" s="17" t="s">
        <v>183</v>
      </c>
      <c r="C18" s="18"/>
      <c r="D18" s="18"/>
      <c r="E18" s="19"/>
      <c r="F18" s="49">
        <v>4</v>
      </c>
      <c r="G18" s="49"/>
      <c r="H18" s="49"/>
      <c r="I18" s="50" t="s">
        <v>184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43" t="s">
        <v>129</v>
      </c>
      <c r="U18" s="43"/>
      <c r="V18" s="43"/>
      <c r="W18" s="41">
        <v>166</v>
      </c>
      <c r="X18" s="51" t="s">
        <v>130</v>
      </c>
      <c r="Y18" s="51"/>
      <c r="Z18" s="52">
        <v>18</v>
      </c>
      <c r="AA18" s="53"/>
      <c r="AB18" s="54"/>
      <c r="AC18" s="55">
        <v>120</v>
      </c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>
        <f t="shared" si="0"/>
        <v>2160</v>
      </c>
      <c r="AO18" s="56"/>
      <c r="AP18" s="56"/>
      <c r="AQ18" s="56"/>
      <c r="AR18" s="56"/>
      <c r="AS18" s="32" t="s">
        <v>131</v>
      </c>
      <c r="AT18" s="57">
        <v>0.1</v>
      </c>
      <c r="AU18" s="58"/>
      <c r="AV18" s="59"/>
      <c r="AW18" s="60">
        <f t="shared" si="1"/>
        <v>216</v>
      </c>
      <c r="AX18" s="61"/>
      <c r="AY18" s="61"/>
      <c r="AZ18" s="61"/>
      <c r="BA18" s="61"/>
      <c r="BB18" s="56">
        <f t="shared" si="2"/>
        <v>2376</v>
      </c>
      <c r="BC18" s="56"/>
      <c r="BD18" s="56"/>
      <c r="BE18" s="56"/>
      <c r="BF18" s="56"/>
      <c r="BG18" s="56"/>
      <c r="BH18" s="56"/>
      <c r="BI18" s="56"/>
      <c r="BJ18" s="43">
        <v>643</v>
      </c>
      <c r="BK18" s="43"/>
      <c r="BL18" s="43" t="s">
        <v>132</v>
      </c>
      <c r="BM18" s="43"/>
      <c r="BN18" s="43"/>
      <c r="BO18" s="43"/>
      <c r="BP18" s="43"/>
      <c r="BQ18" s="43"/>
      <c r="BR18" s="43"/>
      <c r="BS18" s="43"/>
      <c r="BT18" s="44"/>
      <c r="BU18" s="44"/>
      <c r="BV18" s="44"/>
      <c r="BW18" s="44"/>
      <c r="BX18" s="44"/>
      <c r="BY18" s="44"/>
      <c r="BZ18" s="44"/>
      <c r="CA18" s="44"/>
      <c r="CB18" s="44"/>
      <c r="CC18" s="45"/>
      <c r="CD18" s="45"/>
      <c r="CE18" s="45"/>
      <c r="CF18" s="45"/>
      <c r="CG18" s="45"/>
      <c r="CH18" s="45"/>
      <c r="CI18" s="45"/>
      <c r="CJ18" s="45"/>
      <c r="CK18" s="45"/>
      <c r="CL18" s="33"/>
      <c r="CM18" s="33"/>
      <c r="CN18" s="33"/>
      <c r="CO18" s="34"/>
      <c r="CP18" s="34"/>
      <c r="CQ18" s="34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5"/>
      <c r="DJ18" s="35"/>
      <c r="DK18" s="35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7"/>
      <c r="DX18" s="37"/>
      <c r="DY18" s="37"/>
      <c r="DZ18" s="37"/>
      <c r="EA18" s="37"/>
      <c r="EB18" s="38"/>
      <c r="EC18" s="33"/>
      <c r="ED18" s="33"/>
      <c r="EE18" s="33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9"/>
      <c r="FD18" s="39"/>
      <c r="FE18" s="39"/>
      <c r="FF18" s="39"/>
      <c r="FG18" s="39"/>
      <c r="FH18" s="39"/>
      <c r="FI18" s="39"/>
      <c r="FJ18" s="39"/>
      <c r="FK18" s="39"/>
      <c r="FL18" s="40"/>
      <c r="FM18" s="40"/>
      <c r="FN18" s="40"/>
      <c r="FO18" s="40"/>
      <c r="FP18" s="40"/>
      <c r="FQ18" s="40"/>
      <c r="FR18" s="40"/>
      <c r="FS18" s="40"/>
      <c r="FT18" s="40"/>
    </row>
    <row r="19" spans="2:176" s="6" customFormat="1" ht="31.95" customHeight="1" x14ac:dyDescent="0.2">
      <c r="B19" s="17" t="s">
        <v>185</v>
      </c>
      <c r="C19" s="18"/>
      <c r="D19" s="18"/>
      <c r="E19" s="19"/>
      <c r="F19" s="49">
        <v>5</v>
      </c>
      <c r="G19" s="49"/>
      <c r="H19" s="49"/>
      <c r="I19" s="50" t="s">
        <v>186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43" t="s">
        <v>129</v>
      </c>
      <c r="U19" s="43"/>
      <c r="V19" s="43"/>
      <c r="W19" s="41">
        <v>166</v>
      </c>
      <c r="X19" s="51" t="s">
        <v>130</v>
      </c>
      <c r="Y19" s="51"/>
      <c r="Z19" s="52">
        <v>40</v>
      </c>
      <c r="AA19" s="53"/>
      <c r="AB19" s="54"/>
      <c r="AC19" s="55">
        <v>76</v>
      </c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>
        <f t="shared" si="0"/>
        <v>3040</v>
      </c>
      <c r="AO19" s="56"/>
      <c r="AP19" s="56"/>
      <c r="AQ19" s="56"/>
      <c r="AR19" s="56"/>
      <c r="AS19" s="32" t="s">
        <v>131</v>
      </c>
      <c r="AT19" s="57">
        <v>0.1</v>
      </c>
      <c r="AU19" s="58"/>
      <c r="AV19" s="59"/>
      <c r="AW19" s="60">
        <f t="shared" si="1"/>
        <v>304</v>
      </c>
      <c r="AX19" s="61"/>
      <c r="AY19" s="61"/>
      <c r="AZ19" s="61"/>
      <c r="BA19" s="61"/>
      <c r="BB19" s="56">
        <f t="shared" si="2"/>
        <v>3344</v>
      </c>
      <c r="BC19" s="56"/>
      <c r="BD19" s="56"/>
      <c r="BE19" s="56"/>
      <c r="BF19" s="56"/>
      <c r="BG19" s="56"/>
      <c r="BH19" s="56"/>
      <c r="BI19" s="56"/>
      <c r="BJ19" s="43">
        <v>643</v>
      </c>
      <c r="BK19" s="43"/>
      <c r="BL19" s="43" t="s">
        <v>132</v>
      </c>
      <c r="BM19" s="43"/>
      <c r="BN19" s="43"/>
      <c r="BO19" s="43"/>
      <c r="BP19" s="43"/>
      <c r="BQ19" s="43"/>
      <c r="BR19" s="43"/>
      <c r="BS19" s="43"/>
      <c r="BT19" s="44"/>
      <c r="BU19" s="44"/>
      <c r="BV19" s="44"/>
      <c r="BW19" s="44"/>
      <c r="BX19" s="44"/>
      <c r="BY19" s="44"/>
      <c r="BZ19" s="44"/>
      <c r="CA19" s="44"/>
      <c r="CB19" s="44"/>
      <c r="CC19" s="45"/>
      <c r="CD19" s="45"/>
      <c r="CE19" s="45"/>
      <c r="CF19" s="45"/>
      <c r="CG19" s="45"/>
      <c r="CH19" s="45"/>
      <c r="CI19" s="45"/>
      <c r="CJ19" s="45"/>
      <c r="CK19" s="45"/>
      <c r="CL19" s="33"/>
      <c r="CM19" s="33"/>
      <c r="CN19" s="33"/>
      <c r="CO19" s="34"/>
      <c r="CP19" s="34"/>
      <c r="CQ19" s="34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5"/>
      <c r="DJ19" s="35"/>
      <c r="DK19" s="35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7"/>
      <c r="DX19" s="37"/>
      <c r="DY19" s="37"/>
      <c r="DZ19" s="37"/>
      <c r="EA19" s="37"/>
      <c r="EB19" s="38"/>
      <c r="EC19" s="33"/>
      <c r="ED19" s="33"/>
      <c r="EE19" s="33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9"/>
      <c r="FD19" s="39"/>
      <c r="FE19" s="39"/>
      <c r="FF19" s="39"/>
      <c r="FG19" s="39"/>
      <c r="FH19" s="39"/>
      <c r="FI19" s="39"/>
      <c r="FJ19" s="39"/>
      <c r="FK19" s="39"/>
      <c r="FL19" s="40"/>
      <c r="FM19" s="40"/>
      <c r="FN19" s="40"/>
      <c r="FO19" s="40"/>
      <c r="FP19" s="40"/>
      <c r="FQ19" s="40"/>
      <c r="FR19" s="40"/>
      <c r="FS19" s="40"/>
      <c r="FT19" s="40"/>
    </row>
    <row r="20" spans="2:176" s="6" customFormat="1" ht="31.95" customHeight="1" x14ac:dyDescent="0.2">
      <c r="B20" s="17" t="s">
        <v>187</v>
      </c>
      <c r="C20" s="18"/>
      <c r="D20" s="18"/>
      <c r="E20" s="19"/>
      <c r="F20" s="49">
        <v>6</v>
      </c>
      <c r="G20" s="49"/>
      <c r="H20" s="49"/>
      <c r="I20" s="50" t="s">
        <v>188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43" t="s">
        <v>129</v>
      </c>
      <c r="U20" s="43"/>
      <c r="V20" s="43"/>
      <c r="W20" s="41">
        <v>166</v>
      </c>
      <c r="X20" s="51" t="s">
        <v>130</v>
      </c>
      <c r="Y20" s="51"/>
      <c r="Z20" s="52">
        <v>10</v>
      </c>
      <c r="AA20" s="53"/>
      <c r="AB20" s="54"/>
      <c r="AC20" s="55">
        <v>24</v>
      </c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>
        <f t="shared" si="0"/>
        <v>240</v>
      </c>
      <c r="AO20" s="56"/>
      <c r="AP20" s="56"/>
      <c r="AQ20" s="56"/>
      <c r="AR20" s="56"/>
      <c r="AS20" s="32" t="s">
        <v>131</v>
      </c>
      <c r="AT20" s="57">
        <v>0.1</v>
      </c>
      <c r="AU20" s="58"/>
      <c r="AV20" s="59"/>
      <c r="AW20" s="60">
        <f t="shared" si="1"/>
        <v>24</v>
      </c>
      <c r="AX20" s="61"/>
      <c r="AY20" s="61"/>
      <c r="AZ20" s="61"/>
      <c r="BA20" s="61"/>
      <c r="BB20" s="56">
        <f t="shared" si="2"/>
        <v>264</v>
      </c>
      <c r="BC20" s="56"/>
      <c r="BD20" s="56"/>
      <c r="BE20" s="56"/>
      <c r="BF20" s="56"/>
      <c r="BG20" s="56"/>
      <c r="BH20" s="56"/>
      <c r="BI20" s="56"/>
      <c r="BJ20" s="43">
        <v>643</v>
      </c>
      <c r="BK20" s="43"/>
      <c r="BL20" s="43" t="s">
        <v>132</v>
      </c>
      <c r="BM20" s="43"/>
      <c r="BN20" s="43"/>
      <c r="BO20" s="43"/>
      <c r="BP20" s="43"/>
      <c r="BQ20" s="43"/>
      <c r="BR20" s="43"/>
      <c r="BS20" s="43"/>
      <c r="BT20" s="44"/>
      <c r="BU20" s="44"/>
      <c r="BV20" s="44"/>
      <c r="BW20" s="44"/>
      <c r="BX20" s="44"/>
      <c r="BY20" s="44"/>
      <c r="BZ20" s="44"/>
      <c r="CA20" s="44"/>
      <c r="CB20" s="44"/>
      <c r="CC20" s="45"/>
      <c r="CD20" s="45"/>
      <c r="CE20" s="45"/>
      <c r="CF20" s="45"/>
      <c r="CG20" s="45"/>
      <c r="CH20" s="45"/>
      <c r="CI20" s="45"/>
      <c r="CJ20" s="45"/>
      <c r="CK20" s="45"/>
      <c r="CL20" s="33"/>
      <c r="CM20" s="33"/>
      <c r="CN20" s="33"/>
      <c r="CO20" s="34"/>
      <c r="CP20" s="34"/>
      <c r="CQ20" s="34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5"/>
      <c r="DJ20" s="35"/>
      <c r="DK20" s="35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7"/>
      <c r="DX20" s="37"/>
      <c r="DY20" s="37"/>
      <c r="DZ20" s="37"/>
      <c r="EA20" s="37"/>
      <c r="EB20" s="38"/>
      <c r="EC20" s="33"/>
      <c r="ED20" s="33"/>
      <c r="EE20" s="33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9"/>
      <c r="FD20" s="39"/>
      <c r="FE20" s="39"/>
      <c r="FF20" s="39"/>
      <c r="FG20" s="39"/>
      <c r="FH20" s="39"/>
      <c r="FI20" s="39"/>
      <c r="FJ20" s="39"/>
      <c r="FK20" s="39"/>
      <c r="FL20" s="40"/>
      <c r="FM20" s="40"/>
      <c r="FN20" s="40"/>
      <c r="FO20" s="40"/>
      <c r="FP20" s="40"/>
      <c r="FQ20" s="40"/>
      <c r="FR20" s="40"/>
      <c r="FS20" s="40"/>
      <c r="FT20" s="40"/>
    </row>
    <row r="21" spans="2:176" s="1" customFormat="1" ht="8.85" customHeight="1" x14ac:dyDescent="0.2">
      <c r="B21" s="22"/>
      <c r="C21" s="23"/>
      <c r="D21" s="23"/>
      <c r="E21" s="24"/>
      <c r="F21" s="74" t="s">
        <v>75</v>
      </c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25"/>
      <c r="U21" s="25"/>
      <c r="V21" s="25"/>
      <c r="W21" s="25"/>
      <c r="X21" s="25"/>
      <c r="Y21" s="25"/>
      <c r="Z21" s="25"/>
      <c r="AA21" s="25"/>
      <c r="AB21" s="2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6">
        <f>SUM(AN15:AN20)</f>
        <v>14760</v>
      </c>
      <c r="AO21" s="77"/>
      <c r="AP21" s="77"/>
      <c r="AQ21" s="77"/>
      <c r="AR21" s="77"/>
      <c r="AS21" s="78" t="s">
        <v>76</v>
      </c>
      <c r="AT21" s="78"/>
      <c r="AU21" s="78"/>
      <c r="AV21" s="78"/>
      <c r="AW21" s="76">
        <f>SUM(AW15:AW20)</f>
        <v>1476</v>
      </c>
      <c r="AX21" s="77"/>
      <c r="AY21" s="77"/>
      <c r="AZ21" s="77"/>
      <c r="BA21" s="77"/>
      <c r="BB21" s="76">
        <f>SUM(BB15:BB20)</f>
        <v>16236</v>
      </c>
      <c r="BC21" s="77"/>
      <c r="BD21" s="77"/>
      <c r="BE21" s="77"/>
      <c r="BF21" s="77"/>
      <c r="BG21" s="77"/>
      <c r="BH21" s="77"/>
      <c r="BI21" s="77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</row>
    <row r="22" spans="2:176" s="5" customFormat="1" ht="3.15" customHeight="1" x14ac:dyDescent="0.2">
      <c r="B22" s="14"/>
      <c r="C22" s="14"/>
      <c r="D22" s="14"/>
      <c r="E22" s="14"/>
      <c r="F22" s="26"/>
      <c r="G22" s="27"/>
      <c r="H22" s="27"/>
      <c r="I22" s="27"/>
      <c r="J22" s="26"/>
      <c r="K22" s="27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</row>
    <row r="23" spans="2:176" s="1" customFormat="1" ht="16.8" customHeight="1" x14ac:dyDescent="0.2">
      <c r="B23" s="80"/>
      <c r="C23" s="80"/>
      <c r="D23" s="80"/>
      <c r="E23" s="80"/>
      <c r="F23" s="26"/>
      <c r="G23" s="27"/>
      <c r="H23" s="27"/>
      <c r="I23" s="27"/>
      <c r="J23" s="26"/>
      <c r="K23" s="27"/>
      <c r="L23" s="81" t="s">
        <v>77</v>
      </c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28"/>
      <c r="Z23" s="28"/>
      <c r="AA23" s="28"/>
      <c r="AB23" s="28"/>
      <c r="AC23" s="28"/>
      <c r="AD23" s="28"/>
      <c r="AE23" s="28"/>
      <c r="AF23" s="28"/>
      <c r="AG23" s="27"/>
      <c r="AH23" s="27"/>
      <c r="AI23" s="27"/>
      <c r="AJ23" s="27"/>
      <c r="AK23" s="68" t="s">
        <v>189</v>
      </c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82" t="s">
        <v>78</v>
      </c>
      <c r="BL23" s="82"/>
      <c r="BM23" s="82"/>
      <c r="BN23" s="82"/>
      <c r="BO23" s="82"/>
      <c r="BP23" s="82"/>
      <c r="BQ23" s="82"/>
      <c r="BR23" s="28"/>
      <c r="BS23" s="28"/>
      <c r="BT23" s="28"/>
      <c r="BU23" s="28"/>
      <c r="BV23" s="28"/>
      <c r="BW23" s="28"/>
      <c r="BX23" s="28"/>
      <c r="BY23" s="28"/>
      <c r="BZ23" s="28"/>
      <c r="CA23" s="27"/>
      <c r="CB23" s="68" t="s">
        <v>190</v>
      </c>
      <c r="CC23" s="68"/>
      <c r="CD23" s="68"/>
      <c r="CE23" s="68"/>
      <c r="CF23" s="68"/>
      <c r="CG23" s="68"/>
      <c r="CH23" s="27"/>
      <c r="CI23" s="27"/>
      <c r="CJ23" s="27"/>
      <c r="CK23" s="27"/>
    </row>
    <row r="24" spans="2:176" s="1" customFormat="1" ht="5.55" customHeight="1" x14ac:dyDescent="0.2">
      <c r="B24" s="80"/>
      <c r="C24" s="80"/>
      <c r="D24" s="80"/>
      <c r="E24" s="80"/>
      <c r="F24" s="26"/>
      <c r="G24" s="27"/>
      <c r="H24" s="27"/>
      <c r="I24" s="27"/>
      <c r="J24" s="26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65" t="s">
        <v>79</v>
      </c>
      <c r="Z24" s="65"/>
      <c r="AA24" s="65"/>
      <c r="AB24" s="65"/>
      <c r="AC24" s="65"/>
      <c r="AD24" s="65"/>
      <c r="AE24" s="65"/>
      <c r="AF24" s="65"/>
      <c r="AG24" s="27"/>
      <c r="AH24" s="27"/>
      <c r="AI24" s="27"/>
      <c r="AJ24" s="27"/>
      <c r="AK24" s="65" t="s">
        <v>80</v>
      </c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65" t="s">
        <v>79</v>
      </c>
      <c r="BS24" s="65"/>
      <c r="BT24" s="65"/>
      <c r="BU24" s="65"/>
      <c r="BV24" s="65"/>
      <c r="BW24" s="65"/>
      <c r="BX24" s="65"/>
      <c r="BY24" s="65"/>
      <c r="BZ24" s="65"/>
      <c r="CA24" s="27"/>
      <c r="CB24" s="65" t="s">
        <v>80</v>
      </c>
      <c r="CC24" s="65"/>
      <c r="CD24" s="65"/>
      <c r="CE24" s="65"/>
      <c r="CF24" s="65"/>
      <c r="CG24" s="65"/>
      <c r="CH24" s="27"/>
      <c r="CI24" s="27"/>
      <c r="CJ24" s="27"/>
      <c r="CK24" s="27"/>
    </row>
    <row r="25" spans="2:176" s="1" customFormat="1" ht="16.8" customHeight="1" x14ac:dyDescent="0.2">
      <c r="B25" s="80"/>
      <c r="C25" s="80"/>
      <c r="D25" s="80"/>
      <c r="E25" s="80"/>
      <c r="F25" s="26"/>
      <c r="G25" s="27"/>
      <c r="H25" s="27"/>
      <c r="I25" s="27"/>
      <c r="J25" s="26"/>
      <c r="K25" s="27"/>
      <c r="L25" s="81" t="s">
        <v>81</v>
      </c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28"/>
      <c r="Z25" s="28"/>
      <c r="AA25" s="28"/>
      <c r="AB25" s="28"/>
      <c r="AC25" s="28"/>
      <c r="AD25" s="28"/>
      <c r="AE25" s="28"/>
      <c r="AF25" s="28"/>
      <c r="AG25" s="27"/>
      <c r="AH25" s="27"/>
      <c r="AI25" s="27"/>
      <c r="AJ25" s="27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27"/>
      <c r="CI25" s="27"/>
      <c r="CJ25" s="27"/>
      <c r="CK25" s="27"/>
    </row>
    <row r="26" spans="2:176" s="1" customFormat="1" ht="5.55" customHeight="1" x14ac:dyDescent="0.2">
      <c r="B26" s="80"/>
      <c r="C26" s="80"/>
      <c r="D26" s="80"/>
      <c r="E26" s="80"/>
      <c r="F26" s="29"/>
      <c r="G26" s="30"/>
      <c r="H26" s="30"/>
      <c r="I26" s="30"/>
      <c r="J26" s="29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73" t="s">
        <v>79</v>
      </c>
      <c r="Z26" s="73"/>
      <c r="AA26" s="73"/>
      <c r="AB26" s="73"/>
      <c r="AC26" s="73"/>
      <c r="AD26" s="73"/>
      <c r="AE26" s="73"/>
      <c r="AF26" s="73"/>
      <c r="AG26" s="30"/>
      <c r="AH26" s="30"/>
      <c r="AI26" s="30"/>
      <c r="AJ26" s="30"/>
      <c r="AK26" s="73" t="s">
        <v>80</v>
      </c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73" t="s">
        <v>82</v>
      </c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27"/>
      <c r="CI26" s="27"/>
      <c r="CJ26" s="27"/>
      <c r="CK26" s="27"/>
    </row>
    <row r="27" spans="2:176" s="5" customFormat="1" ht="3.15" customHeight="1" x14ac:dyDescent="0.2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3" t="s">
        <v>83</v>
      </c>
      <c r="CG27" s="83"/>
      <c r="CH27" s="83"/>
      <c r="CI27" s="14"/>
      <c r="CJ27" s="14"/>
      <c r="CK27" s="14"/>
    </row>
    <row r="28" spans="2:176" ht="8.85" customHeight="1" x14ac:dyDescent="0.2">
      <c r="B28" s="27"/>
      <c r="C28" s="67" t="s">
        <v>84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8" t="s">
        <v>191</v>
      </c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83"/>
      <c r="CG28" s="83"/>
      <c r="CH28" s="83"/>
      <c r="CI28" s="27"/>
      <c r="CJ28" s="27"/>
      <c r="CK28" s="27"/>
    </row>
    <row r="29" spans="2:176" s="5" customFormat="1" ht="5.55" customHeigh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65" t="s">
        <v>85</v>
      </c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83"/>
      <c r="CG29" s="83"/>
      <c r="CH29" s="83"/>
      <c r="CI29" s="14"/>
      <c r="CJ29" s="14"/>
      <c r="CK29" s="14"/>
    </row>
    <row r="30" spans="2:176" ht="8.85" customHeight="1" x14ac:dyDescent="0.2">
      <c r="B30" s="27"/>
      <c r="C30" s="84" t="s">
        <v>86</v>
      </c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72" t="s">
        <v>87</v>
      </c>
      <c r="CG30" s="72"/>
      <c r="CH30" s="72"/>
      <c r="CI30" s="27"/>
      <c r="CJ30" s="27"/>
      <c r="CK30" s="27"/>
    </row>
    <row r="31" spans="2:176" s="5" customFormat="1" ht="5.55" customHeight="1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65" t="s">
        <v>88</v>
      </c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72"/>
      <c r="CG31" s="72"/>
      <c r="CH31" s="72"/>
      <c r="CI31" s="14"/>
      <c r="CJ31" s="14"/>
      <c r="CK31" s="14"/>
    </row>
    <row r="32" spans="2:176" s="5" customFormat="1" ht="3.15" customHeight="1" x14ac:dyDescent="0.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</row>
    <row r="33" spans="2:89" ht="8.85" customHeight="1" x14ac:dyDescent="0.2">
      <c r="B33" s="27"/>
      <c r="C33" s="67" t="s">
        <v>89</v>
      </c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31"/>
      <c r="AX33" s="31"/>
      <c r="AY33" s="27"/>
      <c r="AZ33" s="27"/>
      <c r="BA33" s="27"/>
      <c r="BB33" s="27"/>
      <c r="BC33" s="27"/>
      <c r="BD33" s="27"/>
      <c r="BE33" s="26"/>
      <c r="BF33" s="67" t="s">
        <v>90</v>
      </c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31"/>
      <c r="CG33" s="31"/>
      <c r="CH33" s="31"/>
      <c r="CI33" s="27"/>
      <c r="CJ33" s="27"/>
      <c r="CK33" s="27"/>
    </row>
    <row r="34" spans="2:89" ht="8.85" customHeight="1" x14ac:dyDescent="0.2">
      <c r="B34" s="27"/>
      <c r="C34" s="28"/>
      <c r="D34" s="28"/>
      <c r="E34" s="28"/>
      <c r="F34" s="28"/>
      <c r="G34" s="28"/>
      <c r="H34" s="28"/>
      <c r="I34" s="28"/>
      <c r="J34" s="28"/>
      <c r="K34" s="27"/>
      <c r="L34" s="27"/>
      <c r="M34" s="27"/>
      <c r="N34" s="27"/>
      <c r="O34" s="27"/>
      <c r="P34" s="27"/>
      <c r="Q34" s="28"/>
      <c r="R34" s="28"/>
      <c r="S34" s="28"/>
      <c r="T34" s="2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27"/>
      <c r="AF34" s="27"/>
      <c r="AG34" s="27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64" t="s">
        <v>91</v>
      </c>
      <c r="AX34" s="64"/>
      <c r="AY34" s="27"/>
      <c r="AZ34" s="27"/>
      <c r="BA34" s="27"/>
      <c r="BB34" s="27"/>
      <c r="BC34" s="27"/>
      <c r="BD34" s="27"/>
      <c r="BE34" s="26"/>
      <c r="BF34" s="28"/>
      <c r="BG34" s="28"/>
      <c r="BH34" s="28"/>
      <c r="BI34" s="28"/>
      <c r="BJ34" s="28"/>
      <c r="BK34" s="28"/>
      <c r="BL34" s="28"/>
      <c r="BM34" s="28"/>
      <c r="BN34" s="28"/>
      <c r="BO34" s="27"/>
      <c r="BP34" s="27"/>
      <c r="BQ34" s="68"/>
      <c r="BR34" s="68"/>
      <c r="BS34" s="68"/>
      <c r="BT34" s="68"/>
      <c r="BU34" s="68"/>
      <c r="BV34" s="68"/>
      <c r="BW34" s="68"/>
      <c r="BX34" s="27"/>
      <c r="BY34" s="27"/>
      <c r="BZ34" s="28"/>
      <c r="CA34" s="28"/>
      <c r="CB34" s="28"/>
      <c r="CC34" s="28"/>
      <c r="CD34" s="28"/>
      <c r="CE34" s="28"/>
      <c r="CF34" s="64" t="s">
        <v>92</v>
      </c>
      <c r="CG34" s="64"/>
      <c r="CH34" s="64"/>
      <c r="CI34" s="27"/>
      <c r="CJ34" s="27"/>
      <c r="CK34" s="27"/>
    </row>
    <row r="35" spans="2:89" s="5" customFormat="1" ht="5.55" customHeight="1" x14ac:dyDescent="0.2">
      <c r="B35" s="14"/>
      <c r="C35" s="65" t="s">
        <v>93</v>
      </c>
      <c r="D35" s="65"/>
      <c r="E35" s="65"/>
      <c r="F35" s="65"/>
      <c r="G35" s="65"/>
      <c r="H35" s="65"/>
      <c r="I35" s="65"/>
      <c r="J35" s="65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65" t="s">
        <v>79</v>
      </c>
      <c r="V35" s="65"/>
      <c r="W35" s="65"/>
      <c r="X35" s="65"/>
      <c r="Y35" s="65"/>
      <c r="Z35" s="65"/>
      <c r="AA35" s="65"/>
      <c r="AB35" s="65"/>
      <c r="AC35" s="65"/>
      <c r="AD35" s="65"/>
      <c r="AE35" s="14"/>
      <c r="AF35" s="14"/>
      <c r="AG35" s="14"/>
      <c r="AH35" s="65" t="s">
        <v>80</v>
      </c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4"/>
      <c r="AX35" s="64"/>
      <c r="AY35" s="14"/>
      <c r="AZ35" s="14"/>
      <c r="BA35" s="14"/>
      <c r="BB35" s="14"/>
      <c r="BC35" s="14"/>
      <c r="BD35" s="14"/>
      <c r="BE35" s="26"/>
      <c r="BF35" s="65" t="s">
        <v>93</v>
      </c>
      <c r="BG35" s="65"/>
      <c r="BH35" s="65"/>
      <c r="BI35" s="65"/>
      <c r="BJ35" s="65"/>
      <c r="BK35" s="65"/>
      <c r="BL35" s="65"/>
      <c r="BM35" s="65"/>
      <c r="BN35" s="65"/>
      <c r="BO35" s="14"/>
      <c r="BP35" s="14"/>
      <c r="BQ35" s="65" t="s">
        <v>79</v>
      </c>
      <c r="BR35" s="65"/>
      <c r="BS35" s="65"/>
      <c r="BT35" s="65"/>
      <c r="BU35" s="65"/>
      <c r="BV35" s="65"/>
      <c r="BW35" s="65"/>
      <c r="BX35" s="14"/>
      <c r="BY35" s="14"/>
      <c r="BZ35" s="65" t="s">
        <v>80</v>
      </c>
      <c r="CA35" s="65"/>
      <c r="CB35" s="65"/>
      <c r="CC35" s="65"/>
      <c r="CD35" s="65"/>
      <c r="CE35" s="65"/>
      <c r="CF35" s="64"/>
      <c r="CG35" s="64"/>
      <c r="CH35" s="64"/>
      <c r="CI35" s="14"/>
      <c r="CJ35" s="14"/>
      <c r="CK35" s="14"/>
    </row>
    <row r="36" spans="2:89" ht="8.85" customHeight="1" x14ac:dyDescent="0.2">
      <c r="B36" s="27"/>
      <c r="C36" s="67" t="s">
        <v>94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70"/>
      <c r="X36" s="70"/>
      <c r="Y36" s="70"/>
      <c r="Z36" s="70"/>
      <c r="AA36" s="70"/>
      <c r="AB36" s="70"/>
      <c r="AC36" s="70"/>
      <c r="AD36" s="70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71" t="s">
        <v>95</v>
      </c>
      <c r="AX36" s="71"/>
      <c r="AY36" s="27"/>
      <c r="AZ36" s="27"/>
      <c r="BA36" s="27"/>
      <c r="BB36" s="27"/>
      <c r="BC36" s="27"/>
      <c r="BD36" s="27"/>
      <c r="BE36" s="26"/>
      <c r="BF36" s="67" t="s">
        <v>96</v>
      </c>
      <c r="BG36" s="67"/>
      <c r="BH36" s="67"/>
      <c r="BI36" s="67"/>
      <c r="BJ36" s="67"/>
      <c r="BK36" s="67"/>
      <c r="BL36" s="67"/>
      <c r="BM36" s="67"/>
      <c r="BN36" s="67"/>
      <c r="BO36" s="27"/>
      <c r="BP36" s="27"/>
      <c r="BQ36" s="70" t="s">
        <v>97</v>
      </c>
      <c r="BR36" s="70"/>
      <c r="BS36" s="70"/>
      <c r="BT36" s="70"/>
      <c r="BU36" s="70"/>
      <c r="BV36" s="70"/>
      <c r="BW36" s="70"/>
      <c r="BX36" s="27"/>
      <c r="BY36" s="27"/>
      <c r="BZ36" s="27"/>
      <c r="CA36" s="27"/>
      <c r="CB36" s="27"/>
      <c r="CC36" s="27"/>
      <c r="CD36" s="27"/>
      <c r="CE36" s="27"/>
      <c r="CF36" s="69" t="s">
        <v>98</v>
      </c>
      <c r="CG36" s="69"/>
      <c r="CH36" s="69"/>
      <c r="CI36" s="27"/>
      <c r="CJ36" s="27"/>
      <c r="CK36" s="27"/>
    </row>
    <row r="37" spans="2:89" s="5" customFormat="1" ht="3.15" customHeight="1" x14ac:dyDescent="0.2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26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</row>
    <row r="38" spans="2:89" ht="8.85" customHeight="1" x14ac:dyDescent="0.2">
      <c r="B38" s="27"/>
      <c r="C38" s="67" t="s">
        <v>99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31"/>
      <c r="AX38" s="31"/>
      <c r="AY38" s="27"/>
      <c r="AZ38" s="27"/>
      <c r="BA38" s="27"/>
      <c r="BB38" s="27"/>
      <c r="BC38" s="27"/>
      <c r="BD38" s="27"/>
      <c r="BE38" s="26"/>
      <c r="BF38" s="67" t="s">
        <v>100</v>
      </c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31"/>
      <c r="CG38" s="31"/>
      <c r="CH38" s="31"/>
      <c r="CI38" s="27"/>
      <c r="CJ38" s="27"/>
      <c r="CK38" s="27"/>
    </row>
    <row r="39" spans="2:89" ht="8.85" customHeight="1" x14ac:dyDescent="0.2">
      <c r="B39" s="27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4" t="s">
        <v>101</v>
      </c>
      <c r="AX39" s="64"/>
      <c r="AY39" s="27"/>
      <c r="AZ39" s="27"/>
      <c r="BA39" s="27"/>
      <c r="BB39" s="27"/>
      <c r="BC39" s="27"/>
      <c r="BD39" s="27"/>
      <c r="BE39" s="26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4" t="s">
        <v>102</v>
      </c>
      <c r="CG39" s="64"/>
      <c r="CH39" s="64"/>
      <c r="CI39" s="27"/>
      <c r="CJ39" s="27"/>
      <c r="CK39" s="27"/>
    </row>
    <row r="40" spans="2:89" s="5" customFormat="1" ht="5.55" customHeight="1" x14ac:dyDescent="0.2">
      <c r="B40" s="14"/>
      <c r="C40" s="65" t="s">
        <v>103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4"/>
      <c r="AX40" s="64"/>
      <c r="AY40" s="14"/>
      <c r="AZ40" s="14"/>
      <c r="BA40" s="14"/>
      <c r="BB40" s="14"/>
      <c r="BC40" s="14"/>
      <c r="BD40" s="14"/>
      <c r="BE40" s="26"/>
      <c r="BF40" s="65" t="s">
        <v>104</v>
      </c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4"/>
      <c r="CG40" s="64"/>
      <c r="CH40" s="64"/>
      <c r="CI40" s="14"/>
      <c r="CJ40" s="14"/>
      <c r="CK40" s="14"/>
    </row>
    <row r="41" spans="2:89" ht="8.85" customHeight="1" x14ac:dyDescent="0.2">
      <c r="B41" s="27"/>
      <c r="C41" s="67" t="s">
        <v>105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31"/>
      <c r="AX41" s="31"/>
      <c r="AY41" s="27"/>
      <c r="AZ41" s="27"/>
      <c r="BA41" s="27"/>
      <c r="BB41" s="27"/>
      <c r="BC41" s="27"/>
      <c r="BD41" s="27"/>
      <c r="BE41" s="26"/>
      <c r="BF41" s="67" t="s">
        <v>105</v>
      </c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31"/>
      <c r="CG41" s="31"/>
      <c r="CH41" s="31"/>
      <c r="CI41" s="27"/>
      <c r="CJ41" s="27"/>
      <c r="CK41" s="27"/>
    </row>
    <row r="42" spans="2:89" ht="8.85" customHeight="1" x14ac:dyDescent="0.2">
      <c r="B42" s="27"/>
      <c r="C42" s="68"/>
      <c r="D42" s="68"/>
      <c r="E42" s="68"/>
      <c r="F42" s="68"/>
      <c r="G42" s="68"/>
      <c r="H42" s="68"/>
      <c r="I42" s="68"/>
      <c r="J42" s="68"/>
      <c r="K42" s="27"/>
      <c r="L42" s="27"/>
      <c r="M42" s="27"/>
      <c r="N42" s="27"/>
      <c r="O42" s="27"/>
      <c r="P42" s="27"/>
      <c r="Q42" s="28"/>
      <c r="R42" s="28"/>
      <c r="S42" s="28"/>
      <c r="T42" s="2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27"/>
      <c r="AF42" s="27"/>
      <c r="AG42" s="27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4" t="s">
        <v>106</v>
      </c>
      <c r="AX42" s="64"/>
      <c r="AY42" s="27"/>
      <c r="AZ42" s="27"/>
      <c r="BA42" s="27"/>
      <c r="BB42" s="27"/>
      <c r="BC42" s="27"/>
      <c r="BD42" s="27"/>
      <c r="BE42" s="26"/>
      <c r="BF42" s="28"/>
      <c r="BG42" s="28"/>
      <c r="BH42" s="28"/>
      <c r="BI42" s="28"/>
      <c r="BJ42" s="28"/>
      <c r="BK42" s="28"/>
      <c r="BL42" s="28"/>
      <c r="BM42" s="28"/>
      <c r="BN42" s="28"/>
      <c r="BO42" s="27"/>
      <c r="BP42" s="27"/>
      <c r="BQ42" s="68"/>
      <c r="BR42" s="68"/>
      <c r="BS42" s="68"/>
      <c r="BT42" s="68"/>
      <c r="BU42" s="68"/>
      <c r="BV42" s="68"/>
      <c r="BW42" s="68"/>
      <c r="BX42" s="27"/>
      <c r="BY42" s="27"/>
      <c r="BZ42" s="28"/>
      <c r="CA42" s="28"/>
      <c r="CB42" s="28"/>
      <c r="CC42" s="28"/>
      <c r="CD42" s="28"/>
      <c r="CE42" s="28"/>
      <c r="CF42" s="64" t="s">
        <v>107</v>
      </c>
      <c r="CG42" s="64"/>
      <c r="CH42" s="64"/>
      <c r="CI42" s="27"/>
      <c r="CJ42" s="27"/>
      <c r="CK42" s="27"/>
    </row>
    <row r="43" spans="2:89" s="5" customFormat="1" ht="5.55" customHeight="1" x14ac:dyDescent="0.2">
      <c r="B43" s="14"/>
      <c r="C43" s="65" t="s">
        <v>93</v>
      </c>
      <c r="D43" s="65"/>
      <c r="E43" s="65"/>
      <c r="F43" s="65"/>
      <c r="G43" s="65"/>
      <c r="H43" s="65"/>
      <c r="I43" s="65"/>
      <c r="J43" s="65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65" t="s">
        <v>79</v>
      </c>
      <c r="V43" s="65"/>
      <c r="W43" s="65"/>
      <c r="X43" s="65"/>
      <c r="Y43" s="65"/>
      <c r="Z43" s="65"/>
      <c r="AA43" s="65"/>
      <c r="AB43" s="65"/>
      <c r="AC43" s="65"/>
      <c r="AD43" s="65"/>
      <c r="AE43" s="14"/>
      <c r="AF43" s="14"/>
      <c r="AG43" s="14"/>
      <c r="AH43" s="65" t="s">
        <v>80</v>
      </c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4"/>
      <c r="AX43" s="64"/>
      <c r="AY43" s="14"/>
      <c r="AZ43" s="14"/>
      <c r="BA43" s="14"/>
      <c r="BB43" s="14"/>
      <c r="BC43" s="14"/>
      <c r="BD43" s="14"/>
      <c r="BE43" s="26"/>
      <c r="BF43" s="65" t="s">
        <v>93</v>
      </c>
      <c r="BG43" s="65"/>
      <c r="BH43" s="65"/>
      <c r="BI43" s="65"/>
      <c r="BJ43" s="65"/>
      <c r="BK43" s="65"/>
      <c r="BL43" s="65"/>
      <c r="BM43" s="65"/>
      <c r="BN43" s="65"/>
      <c r="BO43" s="14"/>
      <c r="BP43" s="14"/>
      <c r="BQ43" s="65" t="s">
        <v>79</v>
      </c>
      <c r="BR43" s="65"/>
      <c r="BS43" s="65"/>
      <c r="BT43" s="65"/>
      <c r="BU43" s="65"/>
      <c r="BV43" s="65"/>
      <c r="BW43" s="65"/>
      <c r="BX43" s="14"/>
      <c r="BY43" s="14"/>
      <c r="BZ43" s="65" t="s">
        <v>80</v>
      </c>
      <c r="CA43" s="65"/>
      <c r="CB43" s="65"/>
      <c r="CC43" s="65"/>
      <c r="CD43" s="65"/>
      <c r="CE43" s="65"/>
      <c r="CF43" s="64"/>
      <c r="CG43" s="64"/>
      <c r="CH43" s="64"/>
      <c r="CI43" s="14"/>
      <c r="CJ43" s="14"/>
      <c r="CK43" s="14"/>
    </row>
    <row r="44" spans="2:89" ht="8.85" customHeight="1" x14ac:dyDescent="0.2">
      <c r="B44" s="27"/>
      <c r="C44" s="67" t="s">
        <v>108</v>
      </c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31"/>
      <c r="AX44" s="31"/>
      <c r="AY44" s="27"/>
      <c r="AZ44" s="27"/>
      <c r="BA44" s="27"/>
      <c r="BB44" s="27"/>
      <c r="BC44" s="27"/>
      <c r="BD44" s="27"/>
      <c r="BE44" s="26"/>
      <c r="BF44" s="67" t="s">
        <v>109</v>
      </c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31"/>
      <c r="CG44" s="31"/>
      <c r="CH44" s="31"/>
      <c r="CI44" s="27"/>
      <c r="CJ44" s="27"/>
      <c r="CK44" s="27"/>
    </row>
    <row r="45" spans="2:89" ht="18.45" customHeight="1" x14ac:dyDescent="0.2">
      <c r="B45" s="27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4" t="s">
        <v>110</v>
      </c>
      <c r="AX45" s="64"/>
      <c r="AY45" s="27"/>
      <c r="AZ45" s="27"/>
      <c r="BA45" s="27"/>
      <c r="BB45" s="27"/>
      <c r="BC45" s="27"/>
      <c r="BD45" s="27"/>
      <c r="BE45" s="26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4" t="s">
        <v>111</v>
      </c>
      <c r="CG45" s="64"/>
      <c r="CH45" s="64"/>
      <c r="CI45" s="27"/>
      <c r="CJ45" s="27"/>
      <c r="CK45" s="27"/>
    </row>
    <row r="46" spans="2:89" s="5" customFormat="1" ht="5.55" customHeight="1" x14ac:dyDescent="0.2">
      <c r="B46" s="14"/>
      <c r="C46" s="65" t="s">
        <v>112</v>
      </c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4"/>
      <c r="AX46" s="64"/>
      <c r="AY46" s="14"/>
      <c r="AZ46" s="14"/>
      <c r="BA46" s="14"/>
      <c r="BB46" s="14"/>
      <c r="BC46" s="14"/>
      <c r="BD46" s="14"/>
      <c r="BE46" s="26"/>
      <c r="BF46" s="65" t="s">
        <v>112</v>
      </c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4"/>
      <c r="CG46" s="64"/>
      <c r="CH46" s="64"/>
      <c r="CI46" s="14"/>
      <c r="CJ46" s="14"/>
      <c r="CK46" s="14"/>
    </row>
    <row r="47" spans="2:89" ht="8.85" customHeight="1" x14ac:dyDescent="0.2">
      <c r="B47" s="27"/>
      <c r="C47" s="66" t="s">
        <v>113</v>
      </c>
      <c r="D47" s="66"/>
      <c r="E47" s="66"/>
      <c r="F47" s="66"/>
      <c r="G47" s="66"/>
      <c r="H47" s="66"/>
      <c r="I47" s="66"/>
      <c r="J47" s="66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31"/>
      <c r="AX47" s="31"/>
      <c r="AY47" s="27"/>
      <c r="AZ47" s="27"/>
      <c r="BA47" s="27"/>
      <c r="BB47" s="27"/>
      <c r="BC47" s="27"/>
      <c r="BD47" s="27"/>
      <c r="BE47" s="26"/>
      <c r="BF47" s="66" t="s">
        <v>113</v>
      </c>
      <c r="BG47" s="66"/>
      <c r="BH47" s="66"/>
      <c r="BI47" s="66"/>
      <c r="BJ47" s="66"/>
      <c r="BK47" s="66"/>
      <c r="BL47" s="66"/>
      <c r="BM47" s="66"/>
      <c r="BN47" s="66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31"/>
      <c r="CG47" s="31"/>
      <c r="CH47" s="31"/>
      <c r="CI47" s="27"/>
      <c r="CJ47" s="27"/>
      <c r="CK47" s="27"/>
    </row>
  </sheetData>
  <mergeCells count="287">
    <mergeCell ref="CG5:CI5"/>
    <mergeCell ref="B1:E3"/>
    <mergeCell ref="H1:N1"/>
    <mergeCell ref="O1:U1"/>
    <mergeCell ref="V1:W1"/>
    <mergeCell ref="X1:AG1"/>
    <mergeCell ref="AH1:AL1"/>
    <mergeCell ref="BA1:CH3"/>
    <mergeCell ref="H2:N2"/>
    <mergeCell ref="O2:U2"/>
    <mergeCell ref="AH2:AL2"/>
    <mergeCell ref="B5:C5"/>
    <mergeCell ref="G5:R5"/>
    <mergeCell ref="S5:BF5"/>
    <mergeCell ref="BG5:BH5"/>
    <mergeCell ref="BI5:BO5"/>
    <mergeCell ref="G4:R4"/>
    <mergeCell ref="S4:BF4"/>
    <mergeCell ref="BG4:BH4"/>
    <mergeCell ref="BI4:BO4"/>
    <mergeCell ref="CG4:CI4"/>
    <mergeCell ref="CG7:CI7"/>
    <mergeCell ref="G6:R6"/>
    <mergeCell ref="S6:BF6"/>
    <mergeCell ref="BG6:BH6"/>
    <mergeCell ref="BI6:BO6"/>
    <mergeCell ref="CG6:CI6"/>
    <mergeCell ref="CG8:CI9"/>
    <mergeCell ref="G9:R9"/>
    <mergeCell ref="S9:BF9"/>
    <mergeCell ref="BG9:BH9"/>
    <mergeCell ref="G8:R8"/>
    <mergeCell ref="S8:BF8"/>
    <mergeCell ref="BG8:BH8"/>
    <mergeCell ref="BI8:BX9"/>
    <mergeCell ref="BY8:CF9"/>
    <mergeCell ref="B7:E10"/>
    <mergeCell ref="G7:R7"/>
    <mergeCell ref="BN12:BS13"/>
    <mergeCell ref="BT12:CB12"/>
    <mergeCell ref="CC12:CD13"/>
    <mergeCell ref="F11:S11"/>
    <mergeCell ref="B12:E13"/>
    <mergeCell ref="F12:H13"/>
    <mergeCell ref="I12:S13"/>
    <mergeCell ref="T12:V13"/>
    <mergeCell ref="W12:Y12"/>
    <mergeCell ref="Z12:AB13"/>
    <mergeCell ref="AC12:AM13"/>
    <mergeCell ref="AN12:AR13"/>
    <mergeCell ref="S7:BF7"/>
    <mergeCell ref="BG7:BH7"/>
    <mergeCell ref="BI7:BO7"/>
    <mergeCell ref="BS7:CF7"/>
    <mergeCell ref="G10:R10"/>
    <mergeCell ref="S10:BF10"/>
    <mergeCell ref="BG10:BH10"/>
    <mergeCell ref="BB14:BI14"/>
    <mergeCell ref="BJ14:BK14"/>
    <mergeCell ref="BL14:BM14"/>
    <mergeCell ref="BN14:BS14"/>
    <mergeCell ref="CE12:CK13"/>
    <mergeCell ref="X13:Y13"/>
    <mergeCell ref="BJ13:BK13"/>
    <mergeCell ref="BL13:BM13"/>
    <mergeCell ref="BT13:BU13"/>
    <mergeCell ref="BV13:CB13"/>
    <mergeCell ref="Z14:AB14"/>
    <mergeCell ref="AC14:AM14"/>
    <mergeCell ref="AN14:AR14"/>
    <mergeCell ref="AT14:AV14"/>
    <mergeCell ref="BJ12:BM12"/>
    <mergeCell ref="BT14:BU14"/>
    <mergeCell ref="AS12:AS13"/>
    <mergeCell ref="AT12:AV13"/>
    <mergeCell ref="AW12:BA13"/>
    <mergeCell ref="BB12:BI13"/>
    <mergeCell ref="AW15:BA15"/>
    <mergeCell ref="AW14:BA14"/>
    <mergeCell ref="F15:H15"/>
    <mergeCell ref="I15:S15"/>
    <mergeCell ref="T15:V15"/>
    <mergeCell ref="X15:Y15"/>
    <mergeCell ref="Z15:AB15"/>
    <mergeCell ref="B14:E14"/>
    <mergeCell ref="F14:H14"/>
    <mergeCell ref="I14:S14"/>
    <mergeCell ref="T14:V14"/>
    <mergeCell ref="X14:Y14"/>
    <mergeCell ref="BN15:BS15"/>
    <mergeCell ref="BT15:BU15"/>
    <mergeCell ref="BR24:BZ24"/>
    <mergeCell ref="CB24:CG24"/>
    <mergeCell ref="L25:X25"/>
    <mergeCell ref="BM25:CG25"/>
    <mergeCell ref="BB16:BI16"/>
    <mergeCell ref="BV16:CB16"/>
    <mergeCell ref="AC17:AM17"/>
    <mergeCell ref="AN17:AR17"/>
    <mergeCell ref="AT17:AV17"/>
    <mergeCell ref="AW17:BA17"/>
    <mergeCell ref="BV18:CB18"/>
    <mergeCell ref="CE18:CK18"/>
    <mergeCell ref="BB19:BI19"/>
    <mergeCell ref="BJ19:BK19"/>
    <mergeCell ref="BL19:BM19"/>
    <mergeCell ref="BN19:BS19"/>
    <mergeCell ref="BT19:BU19"/>
    <mergeCell ref="BV19:CB19"/>
    <mergeCell ref="CC19:CD19"/>
    <mergeCell ref="AC15:AM15"/>
    <mergeCell ref="AN15:AR15"/>
    <mergeCell ref="AT15:AV15"/>
    <mergeCell ref="Y26:AF26"/>
    <mergeCell ref="AK26:AW26"/>
    <mergeCell ref="BM26:CG26"/>
    <mergeCell ref="C33:AV33"/>
    <mergeCell ref="BF33:CE33"/>
    <mergeCell ref="F21:S21"/>
    <mergeCell ref="AC21:AM21"/>
    <mergeCell ref="AN21:AR21"/>
    <mergeCell ref="AS21:AV21"/>
    <mergeCell ref="AW21:BA21"/>
    <mergeCell ref="BB21:BI21"/>
    <mergeCell ref="BJ21:CK21"/>
    <mergeCell ref="B23:E26"/>
    <mergeCell ref="L23:X23"/>
    <mergeCell ref="AK23:AW23"/>
    <mergeCell ref="BK23:BQ23"/>
    <mergeCell ref="CB23:CG23"/>
    <mergeCell ref="Y24:AF24"/>
    <mergeCell ref="AK24:AW24"/>
    <mergeCell ref="AA27:CE28"/>
    <mergeCell ref="CF27:CH29"/>
    <mergeCell ref="C28:Z28"/>
    <mergeCell ref="AA29:CE29"/>
    <mergeCell ref="C30:V30"/>
    <mergeCell ref="W30:CE30"/>
    <mergeCell ref="CF30:CH31"/>
    <mergeCell ref="W31:CE31"/>
    <mergeCell ref="U34:AD34"/>
    <mergeCell ref="AW34:AX35"/>
    <mergeCell ref="BQ34:BW34"/>
    <mergeCell ref="CF34:CH35"/>
    <mergeCell ref="C35:J35"/>
    <mergeCell ref="U35:AD35"/>
    <mergeCell ref="AH35:AV35"/>
    <mergeCell ref="BF35:BN35"/>
    <mergeCell ref="BQ35:BW35"/>
    <mergeCell ref="BZ35:CE35"/>
    <mergeCell ref="CF36:CH36"/>
    <mergeCell ref="C38:AV38"/>
    <mergeCell ref="BF38:CE38"/>
    <mergeCell ref="C39:AV39"/>
    <mergeCell ref="AW39:AX40"/>
    <mergeCell ref="BF39:CE39"/>
    <mergeCell ref="CF39:CH40"/>
    <mergeCell ref="C40:AV40"/>
    <mergeCell ref="BF40:CE40"/>
    <mergeCell ref="C36:V36"/>
    <mergeCell ref="W36:AD36"/>
    <mergeCell ref="AW36:AX36"/>
    <mergeCell ref="BF36:BN36"/>
    <mergeCell ref="BQ36:BW36"/>
    <mergeCell ref="CF42:CH43"/>
    <mergeCell ref="C43:J43"/>
    <mergeCell ref="U43:AD43"/>
    <mergeCell ref="AH43:AV43"/>
    <mergeCell ref="BF43:BN43"/>
    <mergeCell ref="BQ43:BW43"/>
    <mergeCell ref="BZ43:CE43"/>
    <mergeCell ref="C41:AV41"/>
    <mergeCell ref="BF41:CE41"/>
    <mergeCell ref="C42:J42"/>
    <mergeCell ref="U42:AD42"/>
    <mergeCell ref="AH42:AV42"/>
    <mergeCell ref="AW42:AX43"/>
    <mergeCell ref="BQ42:BW42"/>
    <mergeCell ref="CF45:CH46"/>
    <mergeCell ref="C46:AV46"/>
    <mergeCell ref="BF46:CE46"/>
    <mergeCell ref="C47:J47"/>
    <mergeCell ref="BF47:BN47"/>
    <mergeCell ref="C44:AV44"/>
    <mergeCell ref="BF44:CE44"/>
    <mergeCell ref="C45:AV45"/>
    <mergeCell ref="AW45:AX46"/>
    <mergeCell ref="BF45:CE45"/>
    <mergeCell ref="FE15:FK15"/>
    <mergeCell ref="FL15:FM15"/>
    <mergeCell ref="FN15:FT15"/>
    <mergeCell ref="BJ16:BK16"/>
    <mergeCell ref="CO15:CQ15"/>
    <mergeCell ref="CR15:DB15"/>
    <mergeCell ref="DC15:DE15"/>
    <mergeCell ref="DG15:DH15"/>
    <mergeCell ref="DI15:DK15"/>
    <mergeCell ref="DL15:DV15"/>
    <mergeCell ref="DW15:EA15"/>
    <mergeCell ref="EC15:EE15"/>
    <mergeCell ref="EF15:EJ15"/>
    <mergeCell ref="BV15:CB15"/>
    <mergeCell ref="CC15:CD15"/>
    <mergeCell ref="CE15:CK15"/>
    <mergeCell ref="EK15:ER15"/>
    <mergeCell ref="ES15:ET15"/>
    <mergeCell ref="EU15:EV15"/>
    <mergeCell ref="EW15:FB15"/>
    <mergeCell ref="FC15:FD15"/>
    <mergeCell ref="BL16:BM16"/>
    <mergeCell ref="BN16:BS16"/>
    <mergeCell ref="BT16:BU16"/>
    <mergeCell ref="F16:H16"/>
    <mergeCell ref="I16:S16"/>
    <mergeCell ref="T16:V16"/>
    <mergeCell ref="X16:Y16"/>
    <mergeCell ref="Z16:AB16"/>
    <mergeCell ref="AC16:AM16"/>
    <mergeCell ref="AN16:AR16"/>
    <mergeCell ref="AT16:AV16"/>
    <mergeCell ref="AW16:BA16"/>
    <mergeCell ref="F17:H17"/>
    <mergeCell ref="I17:S17"/>
    <mergeCell ref="T17:V17"/>
    <mergeCell ref="X17:Y17"/>
    <mergeCell ref="Z17:AB17"/>
    <mergeCell ref="BJ18:BK18"/>
    <mergeCell ref="BL18:BM18"/>
    <mergeCell ref="BN18:BS18"/>
    <mergeCell ref="BT18:BU18"/>
    <mergeCell ref="AC18:AM18"/>
    <mergeCell ref="AN18:AR18"/>
    <mergeCell ref="AT18:AV18"/>
    <mergeCell ref="AW18:BA18"/>
    <mergeCell ref="BB18:BI18"/>
    <mergeCell ref="F18:H18"/>
    <mergeCell ref="I18:S18"/>
    <mergeCell ref="T18:V18"/>
    <mergeCell ref="X18:Y18"/>
    <mergeCell ref="Z18:AB18"/>
    <mergeCell ref="BB17:BI17"/>
    <mergeCell ref="BJ17:BK17"/>
    <mergeCell ref="BL17:BM17"/>
    <mergeCell ref="BN17:BS17"/>
    <mergeCell ref="BT17:BU17"/>
    <mergeCell ref="F19:H19"/>
    <mergeCell ref="I19:S19"/>
    <mergeCell ref="T19:V19"/>
    <mergeCell ref="X19:Y19"/>
    <mergeCell ref="Z19:AB19"/>
    <mergeCell ref="AC20:AM20"/>
    <mergeCell ref="AN20:AR20"/>
    <mergeCell ref="AT20:AV20"/>
    <mergeCell ref="AW20:BA20"/>
    <mergeCell ref="AC19:AM19"/>
    <mergeCell ref="AN19:AR19"/>
    <mergeCell ref="AT19:AV19"/>
    <mergeCell ref="AW19:BA19"/>
    <mergeCell ref="F20:H20"/>
    <mergeCell ref="I20:S20"/>
    <mergeCell ref="T20:V20"/>
    <mergeCell ref="X20:Y20"/>
    <mergeCell ref="Z20:AB20"/>
    <mergeCell ref="BB20:BI20"/>
    <mergeCell ref="BJ20:BK20"/>
    <mergeCell ref="BL20:BM20"/>
    <mergeCell ref="BN20:BS20"/>
    <mergeCell ref="BT20:BU20"/>
    <mergeCell ref="BV20:CB20"/>
    <mergeCell ref="CC20:CD20"/>
    <mergeCell ref="CE20:CK20"/>
    <mergeCell ref="BQ4:CF4"/>
    <mergeCell ref="BQ6:CF6"/>
    <mergeCell ref="BQ5:CF5"/>
    <mergeCell ref="CE19:CK19"/>
    <mergeCell ref="BV17:CB17"/>
    <mergeCell ref="CC17:CD17"/>
    <mergeCell ref="CE17:CK17"/>
    <mergeCell ref="CC18:CD18"/>
    <mergeCell ref="CC16:CD16"/>
    <mergeCell ref="CE16:CK16"/>
    <mergeCell ref="BV14:CB14"/>
    <mergeCell ref="CC14:CD14"/>
    <mergeCell ref="CE14:CK14"/>
    <mergeCell ref="BB15:BI15"/>
    <mergeCell ref="BJ15:BK15"/>
    <mergeCell ref="BL15:BM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T47"/>
  <sheetViews>
    <sheetView workbookViewId="0">
      <selection activeCell="CQ19" sqref="CQ19"/>
    </sheetView>
  </sheetViews>
  <sheetFormatPr defaultColWidth="10.42578125" defaultRowHeight="10.199999999999999" x14ac:dyDescent="0.2"/>
  <cols>
    <col min="1" max="1" width="1.140625" style="1" customWidth="1"/>
    <col min="2" max="2" width="0.7109375" style="1" customWidth="1"/>
    <col min="3" max="3" width="7.7109375" style="1" customWidth="1"/>
    <col min="4" max="4" width="3.42578125" style="1" customWidth="1"/>
    <col min="5" max="5" width="3.140625" style="1" customWidth="1"/>
    <col min="6" max="6" width="0.7109375" style="1" customWidth="1"/>
    <col min="7" max="7" width="0.42578125" style="1" customWidth="1"/>
    <col min="8" max="8" width="3.42578125" style="1" customWidth="1"/>
    <col min="9" max="9" width="5.85546875" style="1" customWidth="1"/>
    <col min="10" max="10" width="2.28515625" style="1" customWidth="1"/>
    <col min="11" max="11" width="0.28515625" style="1" customWidth="1"/>
    <col min="12" max="12" width="2" style="1" customWidth="1"/>
    <col min="13" max="13" width="1.85546875" style="1" customWidth="1"/>
    <col min="14" max="14" width="3.42578125" style="1" customWidth="1"/>
    <col min="15" max="15" width="3" style="1" customWidth="1"/>
    <col min="16" max="16" width="1.85546875" style="1" customWidth="1"/>
    <col min="17" max="17" width="2.28515625" style="1" customWidth="1"/>
    <col min="18" max="18" width="2.42578125" style="1" customWidth="1"/>
    <col min="19" max="19" width="0.140625" style="1" customWidth="1"/>
    <col min="20" max="20" width="5.42578125" style="1" customWidth="1"/>
    <col min="21" max="21" width="3" style="1" customWidth="1"/>
    <col min="22" max="22" width="0.7109375" style="1" customWidth="1"/>
    <col min="23" max="23" width="4.140625" style="1" customWidth="1"/>
    <col min="24" max="24" width="1.42578125" style="1" customWidth="1"/>
    <col min="25" max="25" width="7.7109375" style="1" customWidth="1"/>
    <col min="26" max="26" width="2" style="1" customWidth="1"/>
    <col min="27" max="27" width="0.28515625" style="1" customWidth="1"/>
    <col min="28" max="28" width="6.85546875" style="1" customWidth="1"/>
    <col min="29" max="29" width="0.7109375" style="1" customWidth="1"/>
    <col min="30" max="30" width="1.7109375" style="1" customWidth="1"/>
    <col min="31" max="31" width="0.28515625" style="1" customWidth="1"/>
    <col min="32" max="32" width="1.140625" style="1" customWidth="1"/>
    <col min="33" max="34" width="0.28515625" style="1" customWidth="1"/>
    <col min="35" max="35" width="0.85546875" style="1" customWidth="1"/>
    <col min="36" max="36" width="0.28515625" style="1" customWidth="1"/>
    <col min="37" max="37" width="2.7109375" style="1" customWidth="1"/>
    <col min="38" max="38" width="0.28515625" style="1" customWidth="1"/>
    <col min="39" max="39" width="0.140625" style="1" customWidth="1"/>
    <col min="40" max="41" width="2.28515625" style="1" customWidth="1"/>
    <col min="42" max="42" width="3.85546875" style="1" customWidth="1"/>
    <col min="43" max="43" width="1.85546875" style="1" customWidth="1"/>
    <col min="44" max="44" width="0.140625" style="1" customWidth="1"/>
    <col min="45" max="45" width="11.42578125" style="1" customWidth="1"/>
    <col min="46" max="47" width="1.85546875" style="1" customWidth="1"/>
    <col min="48" max="48" width="2.7109375" style="1" customWidth="1"/>
    <col min="49" max="49" width="0.28515625" style="2" customWidth="1"/>
    <col min="50" max="50" width="3.85546875" style="2" customWidth="1"/>
    <col min="51" max="52" width="1.85546875" style="1" customWidth="1"/>
    <col min="53" max="53" width="0.28515625" style="1" customWidth="1"/>
    <col min="54" max="54" width="2.7109375" style="1" customWidth="1"/>
    <col min="55" max="55" width="3.85546875" style="1" customWidth="1"/>
    <col min="56" max="57" width="1.140625" style="1" customWidth="1"/>
    <col min="58" max="58" width="0.85546875" style="1" customWidth="1"/>
    <col min="59" max="59" width="3.42578125" style="1" customWidth="1"/>
    <col min="60" max="60" width="0.42578125" style="1" customWidth="1"/>
    <col min="61" max="61" width="0.7109375" style="1" customWidth="1"/>
    <col min="62" max="62" width="0.42578125" style="1" customWidth="1"/>
    <col min="63" max="63" width="4.85546875" style="1" customWidth="1"/>
    <col min="64" max="64" width="1" style="1" customWidth="1"/>
    <col min="65" max="65" width="10.7109375" style="1" customWidth="1"/>
    <col min="66" max="66" width="3.140625" style="1" customWidth="1"/>
    <col min="67" max="67" width="1.28515625" style="1" customWidth="1"/>
    <col min="68" max="68" width="0.42578125" style="1" customWidth="1"/>
    <col min="69" max="69" width="6" style="1" customWidth="1"/>
    <col min="70" max="70" width="4.140625" style="1" customWidth="1"/>
    <col min="71" max="71" width="2.85546875" style="1" customWidth="1"/>
    <col min="72" max="73" width="2.28515625" style="1" customWidth="1"/>
    <col min="74" max="74" width="4.140625" style="1" customWidth="1"/>
    <col min="75" max="75" width="2.85546875" style="1" customWidth="1"/>
    <col min="76" max="76" width="1.42578125" style="1" customWidth="1"/>
    <col min="77" max="77" width="0.28515625" style="1" customWidth="1"/>
    <col min="78" max="78" width="0.140625" style="1" customWidth="1"/>
    <col min="79" max="79" width="1.85546875" style="1" customWidth="1"/>
    <col min="80" max="80" width="3.85546875" style="1" customWidth="1"/>
    <col min="81" max="81" width="1.42578125" style="1" customWidth="1"/>
    <col min="82" max="82" width="14.7109375" style="1" customWidth="1"/>
    <col min="83" max="83" width="8.140625" style="1" customWidth="1"/>
    <col min="84" max="84" width="0.7109375" style="3" customWidth="1"/>
    <col min="85" max="85" width="3" style="3" customWidth="1"/>
    <col min="86" max="86" width="0.42578125" style="3" customWidth="1"/>
    <col min="87" max="87" width="0.140625" style="1" customWidth="1"/>
    <col min="88" max="88" width="0.28515625" style="1" customWidth="1"/>
    <col min="89" max="89" width="0.140625" style="1" customWidth="1"/>
    <col min="90" max="90" width="10.28515625" style="1" customWidth="1"/>
    <col min="91" max="92" width="10.42578125" style="1" customWidth="1"/>
  </cols>
  <sheetData>
    <row r="1" spans="2:176" s="4" customFormat="1" ht="9.6" customHeight="1" x14ac:dyDescent="0.2">
      <c r="B1" s="111" t="s">
        <v>0</v>
      </c>
      <c r="C1" s="111"/>
      <c r="D1" s="111"/>
      <c r="E1" s="111"/>
      <c r="F1" s="7"/>
      <c r="G1" s="8"/>
      <c r="H1" s="103" t="s">
        <v>1</v>
      </c>
      <c r="I1" s="103"/>
      <c r="J1" s="103"/>
      <c r="K1" s="103"/>
      <c r="L1" s="103"/>
      <c r="M1" s="103"/>
      <c r="N1" s="103"/>
      <c r="O1" s="112" t="s">
        <v>192</v>
      </c>
      <c r="P1" s="112"/>
      <c r="Q1" s="112"/>
      <c r="R1" s="112"/>
      <c r="S1" s="112"/>
      <c r="T1" s="112"/>
      <c r="U1" s="112"/>
      <c r="V1" s="110" t="s">
        <v>2</v>
      </c>
      <c r="W1" s="110"/>
      <c r="X1" s="112" t="s">
        <v>193</v>
      </c>
      <c r="Y1" s="112"/>
      <c r="Z1" s="112"/>
      <c r="AA1" s="112"/>
      <c r="AB1" s="112"/>
      <c r="AC1" s="112"/>
      <c r="AD1" s="112"/>
      <c r="AE1" s="112"/>
      <c r="AF1" s="112"/>
      <c r="AG1" s="112"/>
      <c r="AH1" s="108" t="s">
        <v>3</v>
      </c>
      <c r="AI1" s="108"/>
      <c r="AJ1" s="108"/>
      <c r="AK1" s="108"/>
      <c r="AL1" s="10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113" t="s">
        <v>4</v>
      </c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8"/>
      <c r="CJ1" s="8"/>
      <c r="CK1" s="8"/>
    </row>
    <row r="2" spans="2:176" s="4" customFormat="1" ht="19.8" customHeight="1" x14ac:dyDescent="0.2">
      <c r="B2" s="111"/>
      <c r="C2" s="111"/>
      <c r="D2" s="111"/>
      <c r="E2" s="111"/>
      <c r="F2" s="7"/>
      <c r="G2" s="8"/>
      <c r="H2" s="103" t="s">
        <v>5</v>
      </c>
      <c r="I2" s="103"/>
      <c r="J2" s="103"/>
      <c r="K2" s="103"/>
      <c r="L2" s="103"/>
      <c r="M2" s="103"/>
      <c r="N2" s="103"/>
      <c r="O2" s="112" t="s">
        <v>6</v>
      </c>
      <c r="P2" s="112"/>
      <c r="Q2" s="112"/>
      <c r="R2" s="112"/>
      <c r="S2" s="112"/>
      <c r="T2" s="112"/>
      <c r="U2" s="112"/>
      <c r="V2" s="9" t="s">
        <v>2</v>
      </c>
      <c r="W2" s="9"/>
      <c r="X2" s="10" t="s">
        <v>6</v>
      </c>
      <c r="Y2" s="10"/>
      <c r="Z2" s="10"/>
      <c r="AA2" s="10"/>
      <c r="AB2" s="10"/>
      <c r="AC2" s="10"/>
      <c r="AD2" s="10"/>
      <c r="AE2" s="10"/>
      <c r="AF2" s="10"/>
      <c r="AG2" s="10"/>
      <c r="AH2" s="108" t="s">
        <v>7</v>
      </c>
      <c r="AI2" s="108"/>
      <c r="AJ2" s="108"/>
      <c r="AK2" s="108"/>
      <c r="AL2" s="10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4"/>
      <c r="BU2" s="114"/>
      <c r="BV2" s="114"/>
      <c r="BW2" s="114"/>
      <c r="BX2" s="114"/>
      <c r="BY2" s="114"/>
      <c r="BZ2" s="114"/>
      <c r="CA2" s="114"/>
      <c r="CB2" s="114"/>
      <c r="CC2" s="114"/>
      <c r="CD2" s="114"/>
      <c r="CE2" s="114"/>
      <c r="CF2" s="114"/>
      <c r="CG2" s="114"/>
      <c r="CH2" s="114"/>
      <c r="CI2" s="8"/>
      <c r="CJ2" s="8"/>
      <c r="CK2" s="8"/>
    </row>
    <row r="3" spans="2:176" s="4" customFormat="1" ht="4.05" customHeight="1" x14ac:dyDescent="0.2">
      <c r="B3" s="111"/>
      <c r="C3" s="111"/>
      <c r="D3" s="111"/>
      <c r="E3" s="111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4"/>
      <c r="BV3" s="114"/>
      <c r="BW3" s="114"/>
      <c r="BX3" s="114"/>
      <c r="BY3" s="114"/>
      <c r="BZ3" s="114"/>
      <c r="CA3" s="114"/>
      <c r="CB3" s="114"/>
      <c r="CC3" s="114"/>
      <c r="CD3" s="114"/>
      <c r="CE3" s="114"/>
      <c r="CF3" s="114"/>
      <c r="CG3" s="114"/>
      <c r="CH3" s="114"/>
      <c r="CI3" s="8"/>
      <c r="CJ3" s="8"/>
      <c r="CK3" s="8"/>
    </row>
    <row r="4" spans="2:176" s="4" customFormat="1" ht="15.15" customHeight="1" x14ac:dyDescent="0.2">
      <c r="B4" s="8"/>
      <c r="C4" s="8"/>
      <c r="D4" s="8"/>
      <c r="E4" s="8"/>
      <c r="F4" s="7"/>
      <c r="G4" s="117" t="s">
        <v>8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6" t="s">
        <v>194</v>
      </c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08" t="s">
        <v>9</v>
      </c>
      <c r="BH4" s="108"/>
      <c r="BI4" s="118" t="s">
        <v>10</v>
      </c>
      <c r="BJ4" s="118"/>
      <c r="BK4" s="118"/>
      <c r="BL4" s="118"/>
      <c r="BM4" s="118"/>
      <c r="BN4" s="118"/>
      <c r="BO4" s="118"/>
      <c r="BP4" s="11"/>
      <c r="BQ4" s="46" t="s">
        <v>117</v>
      </c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108" t="s">
        <v>11</v>
      </c>
      <c r="CH4" s="108"/>
      <c r="CI4" s="108"/>
      <c r="CJ4" s="8"/>
      <c r="CK4" s="8"/>
    </row>
    <row r="5" spans="2:176" s="4" customFormat="1" ht="23.25" customHeight="1" x14ac:dyDescent="0.2">
      <c r="B5" s="115" t="s">
        <v>12</v>
      </c>
      <c r="C5" s="115"/>
      <c r="D5" s="12">
        <v>1</v>
      </c>
      <c r="E5" s="13"/>
      <c r="F5" s="7"/>
      <c r="G5" s="109" t="s">
        <v>13</v>
      </c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16" t="s">
        <v>195</v>
      </c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08" t="s">
        <v>14</v>
      </c>
      <c r="BH5" s="108"/>
      <c r="BI5" s="109" t="s">
        <v>13</v>
      </c>
      <c r="BJ5" s="109"/>
      <c r="BK5" s="109"/>
      <c r="BL5" s="109"/>
      <c r="BM5" s="109"/>
      <c r="BN5" s="109"/>
      <c r="BO5" s="109"/>
      <c r="BP5" s="11"/>
      <c r="BQ5" s="47" t="s">
        <v>119</v>
      </c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108" t="s">
        <v>15</v>
      </c>
      <c r="CH5" s="108"/>
      <c r="CI5" s="108"/>
      <c r="CJ5" s="8"/>
      <c r="CK5" s="8"/>
    </row>
    <row r="6" spans="2:176" s="4" customFormat="1" ht="8.85" customHeight="1" x14ac:dyDescent="0.2">
      <c r="B6" s="8"/>
      <c r="C6" s="8"/>
      <c r="D6" s="8"/>
      <c r="E6" s="8"/>
      <c r="F6" s="7"/>
      <c r="G6" s="109" t="s">
        <v>16</v>
      </c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7" t="s">
        <v>196</v>
      </c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8" t="s">
        <v>17</v>
      </c>
      <c r="BH6" s="108"/>
      <c r="BI6" s="109" t="s">
        <v>18</v>
      </c>
      <c r="BJ6" s="109"/>
      <c r="BK6" s="109"/>
      <c r="BL6" s="109"/>
      <c r="BM6" s="109"/>
      <c r="BN6" s="109"/>
      <c r="BO6" s="109"/>
      <c r="BP6" s="11"/>
      <c r="BQ6" s="47" t="s">
        <v>121</v>
      </c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108" t="s">
        <v>19</v>
      </c>
      <c r="CH6" s="108"/>
      <c r="CI6" s="108"/>
      <c r="CJ6" s="8"/>
      <c r="CK6" s="8"/>
    </row>
    <row r="7" spans="2:176" s="4" customFormat="1" ht="8.85" customHeight="1" x14ac:dyDescent="0.2">
      <c r="B7" s="102" t="s">
        <v>20</v>
      </c>
      <c r="C7" s="102"/>
      <c r="D7" s="102"/>
      <c r="E7" s="102"/>
      <c r="F7" s="7"/>
      <c r="G7" s="103" t="s">
        <v>21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7" t="s">
        <v>122</v>
      </c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8" t="s">
        <v>22</v>
      </c>
      <c r="BH7" s="108"/>
      <c r="BI7" s="103" t="s">
        <v>23</v>
      </c>
      <c r="BJ7" s="103"/>
      <c r="BK7" s="103"/>
      <c r="BL7" s="103"/>
      <c r="BM7" s="103"/>
      <c r="BN7" s="103"/>
      <c r="BO7" s="103"/>
      <c r="BP7" s="11"/>
      <c r="BQ7" s="11"/>
      <c r="BR7" s="11"/>
      <c r="BS7" s="107" t="s">
        <v>123</v>
      </c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8" t="s">
        <v>24</v>
      </c>
      <c r="CH7" s="108"/>
      <c r="CI7" s="108"/>
      <c r="CJ7" s="8"/>
      <c r="CK7" s="8"/>
    </row>
    <row r="8" spans="2:176" s="4" customFormat="1" ht="8.85" customHeight="1" x14ac:dyDescent="0.2">
      <c r="B8" s="102"/>
      <c r="C8" s="102"/>
      <c r="D8" s="102"/>
      <c r="E8" s="102"/>
      <c r="F8" s="7"/>
      <c r="G8" s="103" t="s">
        <v>25</v>
      </c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7" t="s">
        <v>124</v>
      </c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8" t="s">
        <v>26</v>
      </c>
      <c r="BH8" s="108"/>
      <c r="BI8" s="111" t="s">
        <v>27</v>
      </c>
      <c r="BJ8" s="111"/>
      <c r="BK8" s="111"/>
      <c r="BL8" s="111"/>
      <c r="BM8" s="111"/>
      <c r="BN8" s="111"/>
      <c r="BO8" s="111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1"/>
      <c r="CF8" s="111"/>
      <c r="CG8" s="108" t="s">
        <v>28</v>
      </c>
      <c r="CH8" s="108"/>
      <c r="CI8" s="108"/>
      <c r="CJ8" s="8"/>
      <c r="CK8" s="8"/>
    </row>
    <row r="9" spans="2:176" s="4" customFormat="1" ht="8.85" customHeight="1" x14ac:dyDescent="0.2">
      <c r="B9" s="102"/>
      <c r="C9" s="102"/>
      <c r="D9" s="102"/>
      <c r="E9" s="102"/>
      <c r="F9" s="7"/>
      <c r="G9" s="103" t="s">
        <v>29</v>
      </c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7" t="s">
        <v>197</v>
      </c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10" t="s">
        <v>30</v>
      </c>
      <c r="BH9" s="110"/>
      <c r="BI9" s="111"/>
      <c r="BJ9" s="111"/>
      <c r="BK9" s="111"/>
      <c r="BL9" s="111"/>
      <c r="BM9" s="111"/>
      <c r="BN9" s="111"/>
      <c r="BO9" s="111"/>
      <c r="BP9" s="111"/>
      <c r="BQ9" s="111"/>
      <c r="BR9" s="111"/>
      <c r="BS9" s="111"/>
      <c r="BT9" s="111"/>
      <c r="BU9" s="111"/>
      <c r="BV9" s="111"/>
      <c r="BW9" s="111"/>
      <c r="BX9" s="111"/>
      <c r="BY9" s="107"/>
      <c r="BZ9" s="107"/>
      <c r="CA9" s="107"/>
      <c r="CB9" s="107"/>
      <c r="CC9" s="107"/>
      <c r="CD9" s="107"/>
      <c r="CE9" s="107"/>
      <c r="CF9" s="107"/>
      <c r="CG9" s="108"/>
      <c r="CH9" s="108"/>
      <c r="CI9" s="108"/>
      <c r="CJ9" s="8"/>
      <c r="CK9" s="8"/>
    </row>
    <row r="10" spans="2:176" s="4" customFormat="1" ht="8.85" customHeight="1" x14ac:dyDescent="0.2">
      <c r="B10" s="102"/>
      <c r="C10" s="102"/>
      <c r="D10" s="102"/>
      <c r="E10" s="102"/>
      <c r="F10" s="7"/>
      <c r="G10" s="103" t="s">
        <v>31</v>
      </c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7" t="s">
        <v>198</v>
      </c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10" t="s">
        <v>32</v>
      </c>
      <c r="BH10" s="110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</row>
    <row r="11" spans="2:176" s="5" customFormat="1" ht="3.15" customHeight="1" x14ac:dyDescent="0.2">
      <c r="B11" s="14"/>
      <c r="C11" s="14"/>
      <c r="D11" s="14"/>
      <c r="E11" s="1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</row>
    <row r="12" spans="2:176" s="1" customFormat="1" ht="65.55" customHeight="1" x14ac:dyDescent="0.2">
      <c r="B12" s="97" t="s">
        <v>33</v>
      </c>
      <c r="C12" s="97"/>
      <c r="D12" s="97"/>
      <c r="E12" s="97"/>
      <c r="F12" s="105" t="s">
        <v>34</v>
      </c>
      <c r="G12" s="105"/>
      <c r="H12" s="105"/>
      <c r="I12" s="100" t="s">
        <v>35</v>
      </c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 t="s">
        <v>36</v>
      </c>
      <c r="U12" s="100"/>
      <c r="V12" s="100"/>
      <c r="W12" s="94" t="s">
        <v>37</v>
      </c>
      <c r="X12" s="94"/>
      <c r="Y12" s="94"/>
      <c r="Z12" s="97" t="s">
        <v>38</v>
      </c>
      <c r="AA12" s="97"/>
      <c r="AB12" s="97"/>
      <c r="AC12" s="97" t="s">
        <v>39</v>
      </c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 t="s">
        <v>40</v>
      </c>
      <c r="AO12" s="97"/>
      <c r="AP12" s="97"/>
      <c r="AQ12" s="97"/>
      <c r="AR12" s="97"/>
      <c r="AS12" s="97" t="s">
        <v>41</v>
      </c>
      <c r="AT12" s="97" t="s">
        <v>42</v>
      </c>
      <c r="AU12" s="97"/>
      <c r="AV12" s="97"/>
      <c r="AW12" s="97" t="s">
        <v>43</v>
      </c>
      <c r="AX12" s="97"/>
      <c r="AY12" s="97"/>
      <c r="AZ12" s="97"/>
      <c r="BA12" s="97"/>
      <c r="BB12" s="100" t="s">
        <v>44</v>
      </c>
      <c r="BC12" s="100"/>
      <c r="BD12" s="100"/>
      <c r="BE12" s="100"/>
      <c r="BF12" s="100"/>
      <c r="BG12" s="100"/>
      <c r="BH12" s="100"/>
      <c r="BI12" s="100"/>
      <c r="BJ12" s="51" t="s">
        <v>45</v>
      </c>
      <c r="BK12" s="51"/>
      <c r="BL12" s="51"/>
      <c r="BM12" s="51"/>
      <c r="BN12" s="100" t="s">
        <v>46</v>
      </c>
      <c r="BO12" s="100"/>
      <c r="BP12" s="100"/>
      <c r="BQ12" s="100"/>
      <c r="BR12" s="100"/>
      <c r="BS12" s="100"/>
      <c r="BT12" s="96" t="s">
        <v>47</v>
      </c>
      <c r="BU12" s="96"/>
      <c r="BV12" s="96"/>
      <c r="BW12" s="96"/>
      <c r="BX12" s="96"/>
      <c r="BY12" s="96"/>
      <c r="BZ12" s="96"/>
      <c r="CA12" s="96"/>
      <c r="CB12" s="96"/>
      <c r="CC12" s="90" t="s">
        <v>48</v>
      </c>
      <c r="CD12" s="90"/>
      <c r="CE12" s="90" t="s">
        <v>49</v>
      </c>
      <c r="CF12" s="90"/>
      <c r="CG12" s="90"/>
      <c r="CH12" s="90"/>
      <c r="CI12" s="90"/>
      <c r="CJ12" s="90"/>
      <c r="CK12" s="90"/>
    </row>
    <row r="13" spans="2:176" s="1" customFormat="1" ht="65.55" customHeight="1" x14ac:dyDescent="0.2">
      <c r="B13" s="98"/>
      <c r="C13" s="99"/>
      <c r="D13" s="99"/>
      <c r="E13" s="99"/>
      <c r="F13" s="106"/>
      <c r="G13" s="99"/>
      <c r="H13" s="99"/>
      <c r="I13" s="98"/>
      <c r="J13" s="99"/>
      <c r="K13" s="99"/>
      <c r="L13" s="99"/>
      <c r="M13" s="99"/>
      <c r="N13" s="99"/>
      <c r="O13" s="99"/>
      <c r="P13" s="99"/>
      <c r="Q13" s="99"/>
      <c r="R13" s="99"/>
      <c r="S13" s="101"/>
      <c r="T13" s="98"/>
      <c r="U13" s="99"/>
      <c r="V13" s="101"/>
      <c r="W13" s="15" t="s">
        <v>50</v>
      </c>
      <c r="X13" s="94" t="s">
        <v>51</v>
      </c>
      <c r="Y13" s="94"/>
      <c r="Z13" s="98"/>
      <c r="AA13" s="99"/>
      <c r="AB13" s="99"/>
      <c r="AC13" s="98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8"/>
      <c r="AO13" s="99"/>
      <c r="AP13" s="99"/>
      <c r="AQ13" s="99"/>
      <c r="AR13" s="99"/>
      <c r="AS13" s="98"/>
      <c r="AT13" s="98"/>
      <c r="AU13" s="99"/>
      <c r="AV13" s="99"/>
      <c r="AW13" s="98"/>
      <c r="AX13" s="99"/>
      <c r="AY13" s="99"/>
      <c r="AZ13" s="99"/>
      <c r="BA13" s="99"/>
      <c r="BB13" s="98"/>
      <c r="BC13" s="99"/>
      <c r="BD13" s="99"/>
      <c r="BE13" s="99"/>
      <c r="BF13" s="99"/>
      <c r="BG13" s="99"/>
      <c r="BH13" s="99"/>
      <c r="BI13" s="101"/>
      <c r="BJ13" s="95" t="s">
        <v>52</v>
      </c>
      <c r="BK13" s="95"/>
      <c r="BL13" s="95" t="s">
        <v>53</v>
      </c>
      <c r="BM13" s="95"/>
      <c r="BN13" s="98"/>
      <c r="BO13" s="99"/>
      <c r="BP13" s="99"/>
      <c r="BQ13" s="99"/>
      <c r="BR13" s="99"/>
      <c r="BS13" s="101"/>
      <c r="BT13" s="96" t="s">
        <v>50</v>
      </c>
      <c r="BU13" s="96"/>
      <c r="BV13" s="96" t="s">
        <v>54</v>
      </c>
      <c r="BW13" s="96"/>
      <c r="BX13" s="96"/>
      <c r="BY13" s="96"/>
      <c r="BZ13" s="96"/>
      <c r="CA13" s="96"/>
      <c r="CB13" s="96"/>
      <c r="CC13" s="91"/>
      <c r="CD13" s="93"/>
      <c r="CE13" s="91"/>
      <c r="CF13" s="92"/>
      <c r="CG13" s="92"/>
      <c r="CH13" s="92"/>
      <c r="CI13" s="92"/>
      <c r="CJ13" s="92"/>
      <c r="CK13" s="93"/>
    </row>
    <row r="14" spans="2:176" s="1" customFormat="1" ht="8.85" customHeight="1" x14ac:dyDescent="0.2">
      <c r="B14" s="86" t="s">
        <v>55</v>
      </c>
      <c r="C14" s="86"/>
      <c r="D14" s="86"/>
      <c r="E14" s="86"/>
      <c r="F14" s="87" t="s">
        <v>56</v>
      </c>
      <c r="G14" s="87"/>
      <c r="H14" s="87"/>
      <c r="I14" s="88" t="s">
        <v>57</v>
      </c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 t="s">
        <v>58</v>
      </c>
      <c r="U14" s="88"/>
      <c r="V14" s="88"/>
      <c r="W14" s="16" t="s">
        <v>59</v>
      </c>
      <c r="X14" s="86" t="s">
        <v>60</v>
      </c>
      <c r="Y14" s="86"/>
      <c r="Z14" s="86" t="s">
        <v>61</v>
      </c>
      <c r="AA14" s="86"/>
      <c r="AB14" s="86"/>
      <c r="AC14" s="86" t="s">
        <v>62</v>
      </c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 t="s">
        <v>63</v>
      </c>
      <c r="AO14" s="86"/>
      <c r="AP14" s="86"/>
      <c r="AQ14" s="86"/>
      <c r="AR14" s="86"/>
      <c r="AS14" s="16" t="s">
        <v>64</v>
      </c>
      <c r="AT14" s="86" t="s">
        <v>65</v>
      </c>
      <c r="AU14" s="86"/>
      <c r="AV14" s="86"/>
      <c r="AW14" s="86" t="s">
        <v>66</v>
      </c>
      <c r="AX14" s="86"/>
      <c r="AY14" s="86"/>
      <c r="AZ14" s="86"/>
      <c r="BA14" s="86"/>
      <c r="BB14" s="89" t="s">
        <v>67</v>
      </c>
      <c r="BC14" s="89"/>
      <c r="BD14" s="89"/>
      <c r="BE14" s="89"/>
      <c r="BF14" s="89"/>
      <c r="BG14" s="89"/>
      <c r="BH14" s="89"/>
      <c r="BI14" s="89"/>
      <c r="BJ14" s="86" t="s">
        <v>68</v>
      </c>
      <c r="BK14" s="86"/>
      <c r="BL14" s="86" t="s">
        <v>69</v>
      </c>
      <c r="BM14" s="86"/>
      <c r="BN14" s="89" t="s">
        <v>70</v>
      </c>
      <c r="BO14" s="89"/>
      <c r="BP14" s="89"/>
      <c r="BQ14" s="89"/>
      <c r="BR14" s="89"/>
      <c r="BS14" s="89"/>
      <c r="BT14" s="48" t="s">
        <v>71</v>
      </c>
      <c r="BU14" s="48"/>
      <c r="BV14" s="48" t="s">
        <v>72</v>
      </c>
      <c r="BW14" s="48"/>
      <c r="BX14" s="48"/>
      <c r="BY14" s="48"/>
      <c r="BZ14" s="48"/>
      <c r="CA14" s="48"/>
      <c r="CB14" s="48"/>
      <c r="CC14" s="48" t="s">
        <v>73</v>
      </c>
      <c r="CD14" s="48"/>
      <c r="CE14" s="48" t="s">
        <v>74</v>
      </c>
      <c r="CF14" s="48"/>
      <c r="CG14" s="48"/>
      <c r="CH14" s="48"/>
      <c r="CI14" s="48"/>
      <c r="CJ14" s="48"/>
      <c r="CK14" s="48"/>
    </row>
    <row r="15" spans="2:176" s="6" customFormat="1" ht="31.95" customHeight="1" x14ac:dyDescent="0.2">
      <c r="B15" s="17" t="s">
        <v>199</v>
      </c>
      <c r="C15" s="18"/>
      <c r="D15" s="18"/>
      <c r="E15" s="19"/>
      <c r="F15" s="49">
        <v>1</v>
      </c>
      <c r="G15" s="49"/>
      <c r="H15" s="49"/>
      <c r="I15" s="50" t="s">
        <v>200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43" t="s">
        <v>129</v>
      </c>
      <c r="U15" s="43"/>
      <c r="V15" s="43"/>
      <c r="W15" s="41">
        <v>166</v>
      </c>
      <c r="X15" s="51" t="s">
        <v>130</v>
      </c>
      <c r="Y15" s="51"/>
      <c r="Z15" s="52">
        <v>18.5</v>
      </c>
      <c r="AA15" s="53"/>
      <c r="AB15" s="54"/>
      <c r="AC15" s="55">
        <v>400</v>
      </c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>
        <f t="shared" ref="AN15:AN20" si="0">ROUND(Z15*AC15,2)</f>
        <v>7400</v>
      </c>
      <c r="AO15" s="56"/>
      <c r="AP15" s="56"/>
      <c r="AQ15" s="56"/>
      <c r="AR15" s="56"/>
      <c r="AS15" s="32" t="s">
        <v>131</v>
      </c>
      <c r="AT15" s="57">
        <v>0.1</v>
      </c>
      <c r="AU15" s="58"/>
      <c r="AV15" s="59"/>
      <c r="AW15" s="60">
        <f t="shared" ref="AW15:AW20" si="1">ROUND(AN15*AT15,2)</f>
        <v>740</v>
      </c>
      <c r="AX15" s="61"/>
      <c r="AY15" s="61"/>
      <c r="AZ15" s="61"/>
      <c r="BA15" s="61"/>
      <c r="BB15" s="42">
        <f>ROUND(AN15+AW15,2)</f>
        <v>8140</v>
      </c>
      <c r="BC15" s="42"/>
      <c r="BD15" s="42"/>
      <c r="BE15" s="42"/>
      <c r="BF15" s="42"/>
      <c r="BG15" s="42"/>
      <c r="BH15" s="42"/>
      <c r="BI15" s="42"/>
      <c r="BJ15" s="43">
        <v>643</v>
      </c>
      <c r="BK15" s="43"/>
      <c r="BL15" s="43" t="s">
        <v>132</v>
      </c>
      <c r="BM15" s="43"/>
      <c r="BN15" s="43"/>
      <c r="BO15" s="43"/>
      <c r="BP15" s="43"/>
      <c r="BQ15" s="43"/>
      <c r="BR15" s="43"/>
      <c r="BS15" s="43"/>
      <c r="BT15" s="44"/>
      <c r="BU15" s="44"/>
      <c r="BV15" s="44"/>
      <c r="BW15" s="44"/>
      <c r="BX15" s="44"/>
      <c r="BY15" s="44"/>
      <c r="BZ15" s="44"/>
      <c r="CA15" s="44"/>
      <c r="CB15" s="44"/>
      <c r="CC15" s="45"/>
      <c r="CD15" s="45"/>
      <c r="CE15" s="45"/>
      <c r="CF15" s="45"/>
      <c r="CG15" s="45"/>
      <c r="CH15" s="45"/>
      <c r="CI15" s="45"/>
      <c r="CJ15" s="45"/>
      <c r="CK15" s="45"/>
      <c r="CL15" s="18"/>
      <c r="CM15" s="18"/>
      <c r="CN15" s="19"/>
      <c r="CO15" s="49"/>
      <c r="CP15" s="49"/>
      <c r="CQ15" s="49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20"/>
      <c r="DG15" s="43"/>
      <c r="DH15" s="43"/>
      <c r="DI15" s="62"/>
      <c r="DJ15" s="62"/>
      <c r="DK15" s="62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1"/>
      <c r="DX15" s="61"/>
      <c r="DY15" s="61"/>
      <c r="DZ15" s="61"/>
      <c r="EA15" s="61"/>
      <c r="EB15" s="21"/>
      <c r="EC15" s="43"/>
      <c r="ED15" s="43"/>
      <c r="EE15" s="43"/>
      <c r="EF15" s="61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4"/>
      <c r="FD15" s="44"/>
      <c r="FE15" s="44"/>
      <c r="FF15" s="44"/>
      <c r="FG15" s="44"/>
      <c r="FH15" s="44"/>
      <c r="FI15" s="44"/>
      <c r="FJ15" s="44"/>
      <c r="FK15" s="44"/>
      <c r="FL15" s="45"/>
      <c r="FM15" s="45"/>
      <c r="FN15" s="45"/>
      <c r="FO15" s="45"/>
      <c r="FP15" s="45"/>
      <c r="FQ15" s="45"/>
      <c r="FR15" s="45"/>
      <c r="FS15" s="45"/>
      <c r="FT15" s="45"/>
    </row>
    <row r="16" spans="2:176" s="6" customFormat="1" ht="31.95" customHeight="1" x14ac:dyDescent="0.2">
      <c r="B16" s="17" t="s">
        <v>201</v>
      </c>
      <c r="C16" s="18"/>
      <c r="D16" s="18"/>
      <c r="E16" s="19"/>
      <c r="F16" s="49">
        <v>2</v>
      </c>
      <c r="G16" s="49"/>
      <c r="H16" s="49"/>
      <c r="I16" s="50" t="s">
        <v>202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43" t="s">
        <v>129</v>
      </c>
      <c r="U16" s="43"/>
      <c r="V16" s="43"/>
      <c r="W16" s="41">
        <v>166</v>
      </c>
      <c r="X16" s="51" t="s">
        <v>130</v>
      </c>
      <c r="Y16" s="51"/>
      <c r="Z16" s="52">
        <v>15</v>
      </c>
      <c r="AA16" s="53"/>
      <c r="AB16" s="54"/>
      <c r="AC16" s="55">
        <v>830</v>
      </c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>
        <f t="shared" si="0"/>
        <v>12450</v>
      </c>
      <c r="AO16" s="56"/>
      <c r="AP16" s="56"/>
      <c r="AQ16" s="56"/>
      <c r="AR16" s="56"/>
      <c r="AS16" s="32" t="s">
        <v>131</v>
      </c>
      <c r="AT16" s="57">
        <v>0.1</v>
      </c>
      <c r="AU16" s="58"/>
      <c r="AV16" s="59"/>
      <c r="AW16" s="60">
        <f t="shared" si="1"/>
        <v>1245</v>
      </c>
      <c r="AX16" s="61"/>
      <c r="AY16" s="61"/>
      <c r="AZ16" s="61"/>
      <c r="BA16" s="61"/>
      <c r="BB16" s="42">
        <f t="shared" ref="BB16:BB20" si="2">ROUND(AN16+AW16,2)</f>
        <v>13695</v>
      </c>
      <c r="BC16" s="42"/>
      <c r="BD16" s="42"/>
      <c r="BE16" s="42"/>
      <c r="BF16" s="42"/>
      <c r="BG16" s="42"/>
      <c r="BH16" s="42"/>
      <c r="BI16" s="42"/>
      <c r="BJ16" s="43">
        <v>643</v>
      </c>
      <c r="BK16" s="43"/>
      <c r="BL16" s="43" t="s">
        <v>132</v>
      </c>
      <c r="BM16" s="43"/>
      <c r="BN16" s="43"/>
      <c r="BO16" s="43"/>
      <c r="BP16" s="43"/>
      <c r="BQ16" s="43"/>
      <c r="BR16" s="43"/>
      <c r="BS16" s="43"/>
      <c r="BT16" s="44"/>
      <c r="BU16" s="44"/>
      <c r="BV16" s="44"/>
      <c r="BW16" s="44"/>
      <c r="BX16" s="44"/>
      <c r="BY16" s="44"/>
      <c r="BZ16" s="44"/>
      <c r="CA16" s="44"/>
      <c r="CB16" s="44"/>
      <c r="CC16" s="45"/>
      <c r="CD16" s="45"/>
      <c r="CE16" s="45"/>
      <c r="CF16" s="45"/>
      <c r="CG16" s="45"/>
      <c r="CH16" s="45"/>
      <c r="CI16" s="45"/>
      <c r="CJ16" s="45"/>
      <c r="CK16" s="45"/>
      <c r="CL16" s="33"/>
      <c r="CM16" s="33"/>
      <c r="CN16" s="33"/>
      <c r="CO16" s="34"/>
      <c r="CP16" s="34"/>
      <c r="CQ16" s="34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5"/>
      <c r="DJ16" s="35"/>
      <c r="DK16" s="35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7"/>
      <c r="DX16" s="37"/>
      <c r="DY16" s="37"/>
      <c r="DZ16" s="37"/>
      <c r="EA16" s="37"/>
      <c r="EB16" s="38"/>
      <c r="EC16" s="33"/>
      <c r="ED16" s="33"/>
      <c r="EE16" s="33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9"/>
      <c r="FD16" s="39"/>
      <c r="FE16" s="39"/>
      <c r="FF16" s="39"/>
      <c r="FG16" s="39"/>
      <c r="FH16" s="39"/>
      <c r="FI16" s="39"/>
      <c r="FJ16" s="39"/>
      <c r="FK16" s="39"/>
      <c r="FL16" s="40"/>
      <c r="FM16" s="40"/>
      <c r="FN16" s="40"/>
      <c r="FO16" s="40"/>
      <c r="FP16" s="40"/>
      <c r="FQ16" s="40"/>
      <c r="FR16" s="40"/>
      <c r="FS16" s="40"/>
      <c r="FT16" s="40"/>
    </row>
    <row r="17" spans="2:176" s="6" customFormat="1" ht="31.95" customHeight="1" x14ac:dyDescent="0.2">
      <c r="B17" s="17" t="s">
        <v>203</v>
      </c>
      <c r="C17" s="18"/>
      <c r="D17" s="18"/>
      <c r="E17" s="19"/>
      <c r="F17" s="49">
        <v>3</v>
      </c>
      <c r="G17" s="49"/>
      <c r="H17" s="49"/>
      <c r="I17" s="50" t="s">
        <v>204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43" t="s">
        <v>129</v>
      </c>
      <c r="U17" s="43"/>
      <c r="V17" s="43"/>
      <c r="W17" s="41">
        <v>166</v>
      </c>
      <c r="X17" s="51" t="s">
        <v>130</v>
      </c>
      <c r="Y17" s="51"/>
      <c r="Z17" s="52">
        <v>10</v>
      </c>
      <c r="AA17" s="53"/>
      <c r="AB17" s="54"/>
      <c r="AC17" s="55">
        <v>455</v>
      </c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>
        <f t="shared" si="0"/>
        <v>4550</v>
      </c>
      <c r="AO17" s="56"/>
      <c r="AP17" s="56"/>
      <c r="AQ17" s="56"/>
      <c r="AR17" s="56"/>
      <c r="AS17" s="32" t="s">
        <v>131</v>
      </c>
      <c r="AT17" s="57">
        <v>0.1</v>
      </c>
      <c r="AU17" s="58"/>
      <c r="AV17" s="59"/>
      <c r="AW17" s="60">
        <f t="shared" si="1"/>
        <v>455</v>
      </c>
      <c r="AX17" s="61"/>
      <c r="AY17" s="61"/>
      <c r="AZ17" s="61"/>
      <c r="BA17" s="61"/>
      <c r="BB17" s="42">
        <f t="shared" si="2"/>
        <v>5005</v>
      </c>
      <c r="BC17" s="42"/>
      <c r="BD17" s="42"/>
      <c r="BE17" s="42"/>
      <c r="BF17" s="42"/>
      <c r="BG17" s="42"/>
      <c r="BH17" s="42"/>
      <c r="BI17" s="42"/>
      <c r="BJ17" s="43">
        <v>643</v>
      </c>
      <c r="BK17" s="43"/>
      <c r="BL17" s="43" t="s">
        <v>132</v>
      </c>
      <c r="BM17" s="43"/>
      <c r="BN17" s="43"/>
      <c r="BO17" s="43"/>
      <c r="BP17" s="43"/>
      <c r="BQ17" s="43"/>
      <c r="BR17" s="43"/>
      <c r="BS17" s="43"/>
      <c r="BT17" s="44"/>
      <c r="BU17" s="44"/>
      <c r="BV17" s="44"/>
      <c r="BW17" s="44"/>
      <c r="BX17" s="44"/>
      <c r="BY17" s="44"/>
      <c r="BZ17" s="44"/>
      <c r="CA17" s="44"/>
      <c r="CB17" s="44"/>
      <c r="CC17" s="45"/>
      <c r="CD17" s="45"/>
      <c r="CE17" s="45"/>
      <c r="CF17" s="45"/>
      <c r="CG17" s="45"/>
      <c r="CH17" s="45"/>
      <c r="CI17" s="45"/>
      <c r="CJ17" s="45"/>
      <c r="CK17" s="45"/>
      <c r="CL17" s="33"/>
      <c r="CM17" s="33"/>
      <c r="CN17" s="33"/>
      <c r="CO17" s="34"/>
      <c r="CP17" s="34"/>
      <c r="CQ17" s="34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5"/>
      <c r="DJ17" s="35"/>
      <c r="DK17" s="35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7"/>
      <c r="DX17" s="37"/>
      <c r="DY17" s="37"/>
      <c r="DZ17" s="37"/>
      <c r="EA17" s="37"/>
      <c r="EB17" s="38"/>
      <c r="EC17" s="33"/>
      <c r="ED17" s="33"/>
      <c r="EE17" s="33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9"/>
      <c r="FD17" s="39"/>
      <c r="FE17" s="39"/>
      <c r="FF17" s="39"/>
      <c r="FG17" s="39"/>
      <c r="FH17" s="39"/>
      <c r="FI17" s="39"/>
      <c r="FJ17" s="39"/>
      <c r="FK17" s="39"/>
      <c r="FL17" s="40"/>
      <c r="FM17" s="40"/>
      <c r="FN17" s="40"/>
      <c r="FO17" s="40"/>
      <c r="FP17" s="40"/>
      <c r="FQ17" s="40"/>
      <c r="FR17" s="40"/>
      <c r="FS17" s="40"/>
      <c r="FT17" s="40"/>
    </row>
    <row r="18" spans="2:176" s="6" customFormat="1" ht="31.95" customHeight="1" x14ac:dyDescent="0.2">
      <c r="B18" s="17" t="s">
        <v>205</v>
      </c>
      <c r="C18" s="18"/>
      <c r="D18" s="18"/>
      <c r="E18" s="19"/>
      <c r="F18" s="49">
        <v>4</v>
      </c>
      <c r="G18" s="49"/>
      <c r="H18" s="49"/>
      <c r="I18" s="50" t="s">
        <v>206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43" t="s">
        <v>129</v>
      </c>
      <c r="U18" s="43"/>
      <c r="V18" s="43"/>
      <c r="W18" s="41">
        <v>166</v>
      </c>
      <c r="X18" s="51" t="s">
        <v>130</v>
      </c>
      <c r="Y18" s="51"/>
      <c r="Z18" s="52">
        <v>12</v>
      </c>
      <c r="AA18" s="53"/>
      <c r="AB18" s="54"/>
      <c r="AC18" s="55">
        <v>495</v>
      </c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>
        <f t="shared" si="0"/>
        <v>5940</v>
      </c>
      <c r="AO18" s="56"/>
      <c r="AP18" s="56"/>
      <c r="AQ18" s="56"/>
      <c r="AR18" s="56"/>
      <c r="AS18" s="32" t="s">
        <v>131</v>
      </c>
      <c r="AT18" s="57">
        <v>0.1</v>
      </c>
      <c r="AU18" s="58"/>
      <c r="AV18" s="59"/>
      <c r="AW18" s="60">
        <f t="shared" si="1"/>
        <v>594</v>
      </c>
      <c r="AX18" s="61"/>
      <c r="AY18" s="61"/>
      <c r="AZ18" s="61"/>
      <c r="BA18" s="61"/>
      <c r="BB18" s="42">
        <f t="shared" si="2"/>
        <v>6534</v>
      </c>
      <c r="BC18" s="42"/>
      <c r="BD18" s="42"/>
      <c r="BE18" s="42"/>
      <c r="BF18" s="42"/>
      <c r="BG18" s="42"/>
      <c r="BH18" s="42"/>
      <c r="BI18" s="42"/>
      <c r="BJ18" s="43">
        <v>643</v>
      </c>
      <c r="BK18" s="43"/>
      <c r="BL18" s="43" t="s">
        <v>132</v>
      </c>
      <c r="BM18" s="43"/>
      <c r="BN18" s="43"/>
      <c r="BO18" s="43"/>
      <c r="BP18" s="43"/>
      <c r="BQ18" s="43"/>
      <c r="BR18" s="43"/>
      <c r="BS18" s="43"/>
      <c r="BT18" s="44"/>
      <c r="BU18" s="44"/>
      <c r="BV18" s="44"/>
      <c r="BW18" s="44"/>
      <c r="BX18" s="44"/>
      <c r="BY18" s="44"/>
      <c r="BZ18" s="44"/>
      <c r="CA18" s="44"/>
      <c r="CB18" s="44"/>
      <c r="CC18" s="45"/>
      <c r="CD18" s="45"/>
      <c r="CE18" s="45"/>
      <c r="CF18" s="45"/>
      <c r="CG18" s="45"/>
      <c r="CH18" s="45"/>
      <c r="CI18" s="45"/>
      <c r="CJ18" s="45"/>
      <c r="CK18" s="45"/>
      <c r="CL18" s="33"/>
      <c r="CM18" s="33"/>
      <c r="CN18" s="33"/>
      <c r="CO18" s="34"/>
      <c r="CP18" s="34"/>
      <c r="CQ18" s="34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5"/>
      <c r="DJ18" s="35"/>
      <c r="DK18" s="35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7"/>
      <c r="DX18" s="37"/>
      <c r="DY18" s="37"/>
      <c r="DZ18" s="37"/>
      <c r="EA18" s="37"/>
      <c r="EB18" s="38"/>
      <c r="EC18" s="33"/>
      <c r="ED18" s="33"/>
      <c r="EE18" s="33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9"/>
      <c r="FD18" s="39"/>
      <c r="FE18" s="39"/>
      <c r="FF18" s="39"/>
      <c r="FG18" s="39"/>
      <c r="FH18" s="39"/>
      <c r="FI18" s="39"/>
      <c r="FJ18" s="39"/>
      <c r="FK18" s="39"/>
      <c r="FL18" s="40"/>
      <c r="FM18" s="40"/>
      <c r="FN18" s="40"/>
      <c r="FO18" s="40"/>
      <c r="FP18" s="40"/>
      <c r="FQ18" s="40"/>
      <c r="FR18" s="40"/>
      <c r="FS18" s="40"/>
      <c r="FT18" s="40"/>
    </row>
    <row r="19" spans="2:176" s="6" customFormat="1" ht="31.95" customHeight="1" x14ac:dyDescent="0.2">
      <c r="B19" s="17" t="s">
        <v>207</v>
      </c>
      <c r="C19" s="18"/>
      <c r="D19" s="18"/>
      <c r="E19" s="19"/>
      <c r="F19" s="49">
        <v>5</v>
      </c>
      <c r="G19" s="49"/>
      <c r="H19" s="49"/>
      <c r="I19" s="50" t="s">
        <v>208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43" t="s">
        <v>129</v>
      </c>
      <c r="U19" s="43"/>
      <c r="V19" s="43"/>
      <c r="W19" s="41">
        <v>166</v>
      </c>
      <c r="X19" s="51" t="s">
        <v>130</v>
      </c>
      <c r="Y19" s="51"/>
      <c r="Z19" s="52">
        <v>20</v>
      </c>
      <c r="AA19" s="53"/>
      <c r="AB19" s="54"/>
      <c r="AC19" s="55">
        <v>310</v>
      </c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>
        <f t="shared" si="0"/>
        <v>6200</v>
      </c>
      <c r="AO19" s="56"/>
      <c r="AP19" s="56"/>
      <c r="AQ19" s="56"/>
      <c r="AR19" s="56"/>
      <c r="AS19" s="32" t="s">
        <v>131</v>
      </c>
      <c r="AT19" s="57">
        <v>0.1</v>
      </c>
      <c r="AU19" s="58"/>
      <c r="AV19" s="59"/>
      <c r="AW19" s="60">
        <f t="shared" si="1"/>
        <v>620</v>
      </c>
      <c r="AX19" s="61"/>
      <c r="AY19" s="61"/>
      <c r="AZ19" s="61"/>
      <c r="BA19" s="61"/>
      <c r="BB19" s="42">
        <f t="shared" si="2"/>
        <v>6820</v>
      </c>
      <c r="BC19" s="42"/>
      <c r="BD19" s="42"/>
      <c r="BE19" s="42"/>
      <c r="BF19" s="42"/>
      <c r="BG19" s="42"/>
      <c r="BH19" s="42"/>
      <c r="BI19" s="42"/>
      <c r="BJ19" s="43">
        <v>643</v>
      </c>
      <c r="BK19" s="43"/>
      <c r="BL19" s="43" t="s">
        <v>132</v>
      </c>
      <c r="BM19" s="43"/>
      <c r="BN19" s="43"/>
      <c r="BO19" s="43"/>
      <c r="BP19" s="43"/>
      <c r="BQ19" s="43"/>
      <c r="BR19" s="43"/>
      <c r="BS19" s="43"/>
      <c r="BT19" s="44"/>
      <c r="BU19" s="44"/>
      <c r="BV19" s="44"/>
      <c r="BW19" s="44"/>
      <c r="BX19" s="44"/>
      <c r="BY19" s="44"/>
      <c r="BZ19" s="44"/>
      <c r="CA19" s="44"/>
      <c r="CB19" s="44"/>
      <c r="CC19" s="45"/>
      <c r="CD19" s="45"/>
      <c r="CE19" s="45"/>
      <c r="CF19" s="45"/>
      <c r="CG19" s="45"/>
      <c r="CH19" s="45"/>
      <c r="CI19" s="45"/>
      <c r="CJ19" s="45"/>
      <c r="CK19" s="45"/>
      <c r="CL19" s="33"/>
      <c r="CM19" s="33"/>
      <c r="CN19" s="33"/>
      <c r="CO19" s="34"/>
      <c r="CP19" s="34"/>
      <c r="CQ19" s="34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5"/>
      <c r="DJ19" s="35"/>
      <c r="DK19" s="35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7"/>
      <c r="DX19" s="37"/>
      <c r="DY19" s="37"/>
      <c r="DZ19" s="37"/>
      <c r="EA19" s="37"/>
      <c r="EB19" s="38"/>
      <c r="EC19" s="33"/>
      <c r="ED19" s="33"/>
      <c r="EE19" s="33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9"/>
      <c r="FD19" s="39"/>
      <c r="FE19" s="39"/>
      <c r="FF19" s="39"/>
      <c r="FG19" s="39"/>
      <c r="FH19" s="39"/>
      <c r="FI19" s="39"/>
      <c r="FJ19" s="39"/>
      <c r="FK19" s="39"/>
      <c r="FL19" s="40"/>
      <c r="FM19" s="40"/>
      <c r="FN19" s="40"/>
      <c r="FO19" s="40"/>
      <c r="FP19" s="40"/>
      <c r="FQ19" s="40"/>
      <c r="FR19" s="40"/>
      <c r="FS19" s="40"/>
      <c r="FT19" s="40"/>
    </row>
    <row r="20" spans="2:176" s="6" customFormat="1" ht="31.95" customHeight="1" x14ac:dyDescent="0.2">
      <c r="B20" s="17" t="s">
        <v>209</v>
      </c>
      <c r="C20" s="18"/>
      <c r="D20" s="18"/>
      <c r="E20" s="19"/>
      <c r="F20" s="49">
        <v>6</v>
      </c>
      <c r="G20" s="49"/>
      <c r="H20" s="49"/>
      <c r="I20" s="50" t="s">
        <v>210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43" t="s">
        <v>129</v>
      </c>
      <c r="U20" s="43"/>
      <c r="V20" s="43"/>
      <c r="W20" s="41">
        <v>876</v>
      </c>
      <c r="X20" s="51" t="s">
        <v>166</v>
      </c>
      <c r="Y20" s="51"/>
      <c r="Z20" s="52">
        <v>1</v>
      </c>
      <c r="AA20" s="53"/>
      <c r="AB20" s="54"/>
      <c r="AC20" s="55">
        <v>1400</v>
      </c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>
        <f t="shared" si="0"/>
        <v>1400</v>
      </c>
      <c r="AO20" s="56"/>
      <c r="AP20" s="56"/>
      <c r="AQ20" s="56"/>
      <c r="AR20" s="56"/>
      <c r="AS20" s="32" t="s">
        <v>131</v>
      </c>
      <c r="AT20" s="57">
        <v>0.2</v>
      </c>
      <c r="AU20" s="58"/>
      <c r="AV20" s="59"/>
      <c r="AW20" s="60">
        <f t="shared" si="1"/>
        <v>280</v>
      </c>
      <c r="AX20" s="61"/>
      <c r="AY20" s="61"/>
      <c r="AZ20" s="61"/>
      <c r="BA20" s="61"/>
      <c r="BB20" s="42">
        <f t="shared" si="2"/>
        <v>1680</v>
      </c>
      <c r="BC20" s="42"/>
      <c r="BD20" s="42"/>
      <c r="BE20" s="42"/>
      <c r="BF20" s="42"/>
      <c r="BG20" s="42"/>
      <c r="BH20" s="42"/>
      <c r="BI20" s="42"/>
      <c r="BJ20" s="43"/>
      <c r="BK20" s="43"/>
      <c r="BL20" s="43" t="s">
        <v>129</v>
      </c>
      <c r="BM20" s="43"/>
      <c r="BN20" s="43"/>
      <c r="BO20" s="43"/>
      <c r="BP20" s="43"/>
      <c r="BQ20" s="43"/>
      <c r="BR20" s="43"/>
      <c r="BS20" s="43"/>
      <c r="BT20" s="44"/>
      <c r="BU20" s="44"/>
      <c r="BV20" s="44"/>
      <c r="BW20" s="44"/>
      <c r="BX20" s="44"/>
      <c r="BY20" s="44"/>
      <c r="BZ20" s="44"/>
      <c r="CA20" s="44"/>
      <c r="CB20" s="44"/>
      <c r="CC20" s="45"/>
      <c r="CD20" s="45"/>
      <c r="CE20" s="45"/>
      <c r="CF20" s="45"/>
      <c r="CG20" s="45"/>
      <c r="CH20" s="45"/>
      <c r="CI20" s="45"/>
      <c r="CJ20" s="45"/>
      <c r="CK20" s="45"/>
      <c r="CL20" s="33"/>
      <c r="CM20" s="33"/>
      <c r="CN20" s="33"/>
      <c r="CO20" s="34"/>
      <c r="CP20" s="34"/>
      <c r="CQ20" s="34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5"/>
      <c r="DJ20" s="35"/>
      <c r="DK20" s="35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7"/>
      <c r="DX20" s="37"/>
      <c r="DY20" s="37"/>
      <c r="DZ20" s="37"/>
      <c r="EA20" s="37"/>
      <c r="EB20" s="38"/>
      <c r="EC20" s="33"/>
      <c r="ED20" s="33"/>
      <c r="EE20" s="33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9"/>
      <c r="FD20" s="39"/>
      <c r="FE20" s="39"/>
      <c r="FF20" s="39"/>
      <c r="FG20" s="39"/>
      <c r="FH20" s="39"/>
      <c r="FI20" s="39"/>
      <c r="FJ20" s="39"/>
      <c r="FK20" s="39"/>
      <c r="FL20" s="40"/>
      <c r="FM20" s="40"/>
      <c r="FN20" s="40"/>
      <c r="FO20" s="40"/>
      <c r="FP20" s="40"/>
      <c r="FQ20" s="40"/>
      <c r="FR20" s="40"/>
      <c r="FS20" s="40"/>
      <c r="FT20" s="40"/>
    </row>
    <row r="21" spans="2:176" s="1" customFormat="1" ht="8.85" customHeight="1" x14ac:dyDescent="0.2">
      <c r="B21" s="22"/>
      <c r="C21" s="23"/>
      <c r="D21" s="23"/>
      <c r="E21" s="24"/>
      <c r="F21" s="74" t="s">
        <v>75</v>
      </c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25"/>
      <c r="U21" s="25"/>
      <c r="V21" s="25"/>
      <c r="W21" s="25"/>
      <c r="X21" s="25"/>
      <c r="Y21" s="25"/>
      <c r="Z21" s="25"/>
      <c r="AA21" s="25"/>
      <c r="AB21" s="2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6">
        <f>SUM(AN15:AN20)</f>
        <v>37940</v>
      </c>
      <c r="AO21" s="77"/>
      <c r="AP21" s="77"/>
      <c r="AQ21" s="77"/>
      <c r="AR21" s="77"/>
      <c r="AS21" s="78" t="s">
        <v>76</v>
      </c>
      <c r="AT21" s="78"/>
      <c r="AU21" s="78"/>
      <c r="AV21" s="78"/>
      <c r="AW21" s="76">
        <f>SUM(AW15:AW20)</f>
        <v>3934</v>
      </c>
      <c r="AX21" s="77"/>
      <c r="AY21" s="77"/>
      <c r="AZ21" s="77"/>
      <c r="BA21" s="77"/>
      <c r="BB21" s="76">
        <f>SUM(BB15:BB20)</f>
        <v>41874</v>
      </c>
      <c r="BC21" s="77"/>
      <c r="BD21" s="77"/>
      <c r="BE21" s="77"/>
      <c r="BF21" s="77"/>
      <c r="BG21" s="77"/>
      <c r="BH21" s="77"/>
      <c r="BI21" s="77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</row>
    <row r="22" spans="2:176" s="5" customFormat="1" ht="3.15" customHeight="1" x14ac:dyDescent="0.2">
      <c r="B22" s="14"/>
      <c r="C22" s="14"/>
      <c r="D22" s="14"/>
      <c r="E22" s="14"/>
      <c r="F22" s="26"/>
      <c r="G22" s="27"/>
      <c r="H22" s="27"/>
      <c r="I22" s="27"/>
      <c r="J22" s="26"/>
      <c r="K22" s="27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</row>
    <row r="23" spans="2:176" s="1" customFormat="1" ht="16.8" customHeight="1" x14ac:dyDescent="0.2">
      <c r="B23" s="80"/>
      <c r="C23" s="80"/>
      <c r="D23" s="80"/>
      <c r="E23" s="80"/>
      <c r="F23" s="26"/>
      <c r="G23" s="27"/>
      <c r="H23" s="27"/>
      <c r="I23" s="27"/>
      <c r="J23" s="26"/>
      <c r="K23" s="27"/>
      <c r="L23" s="81" t="s">
        <v>77</v>
      </c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28"/>
      <c r="Z23" s="28"/>
      <c r="AA23" s="28"/>
      <c r="AB23" s="28"/>
      <c r="AC23" s="28"/>
      <c r="AD23" s="28"/>
      <c r="AE23" s="28"/>
      <c r="AF23" s="28"/>
      <c r="AG23" s="27"/>
      <c r="AH23" s="27"/>
      <c r="AI23" s="27"/>
      <c r="AJ23" s="27"/>
      <c r="AK23" s="68" t="s">
        <v>211</v>
      </c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82" t="s">
        <v>78</v>
      </c>
      <c r="BL23" s="82"/>
      <c r="BM23" s="82"/>
      <c r="BN23" s="82"/>
      <c r="BO23" s="82"/>
      <c r="BP23" s="82"/>
      <c r="BQ23" s="82"/>
      <c r="BR23" s="28"/>
      <c r="BS23" s="28"/>
      <c r="BT23" s="28"/>
      <c r="BU23" s="28"/>
      <c r="BV23" s="28"/>
      <c r="BW23" s="28"/>
      <c r="BX23" s="28"/>
      <c r="BY23" s="28"/>
      <c r="BZ23" s="28"/>
      <c r="CA23" s="27"/>
      <c r="CB23" s="68" t="s">
        <v>212</v>
      </c>
      <c r="CC23" s="68"/>
      <c r="CD23" s="68"/>
      <c r="CE23" s="68"/>
      <c r="CF23" s="68"/>
      <c r="CG23" s="68"/>
      <c r="CH23" s="27"/>
      <c r="CI23" s="27"/>
      <c r="CJ23" s="27"/>
      <c r="CK23" s="27"/>
    </row>
    <row r="24" spans="2:176" s="1" customFormat="1" ht="5.55" customHeight="1" x14ac:dyDescent="0.2">
      <c r="B24" s="80"/>
      <c r="C24" s="80"/>
      <c r="D24" s="80"/>
      <c r="E24" s="80"/>
      <c r="F24" s="26"/>
      <c r="G24" s="27"/>
      <c r="H24" s="27"/>
      <c r="I24" s="27"/>
      <c r="J24" s="26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65" t="s">
        <v>79</v>
      </c>
      <c r="Z24" s="65"/>
      <c r="AA24" s="65"/>
      <c r="AB24" s="65"/>
      <c r="AC24" s="65"/>
      <c r="AD24" s="65"/>
      <c r="AE24" s="65"/>
      <c r="AF24" s="65"/>
      <c r="AG24" s="27"/>
      <c r="AH24" s="27"/>
      <c r="AI24" s="27"/>
      <c r="AJ24" s="27"/>
      <c r="AK24" s="65" t="s">
        <v>80</v>
      </c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65" t="s">
        <v>79</v>
      </c>
      <c r="BS24" s="65"/>
      <c r="BT24" s="65"/>
      <c r="BU24" s="65"/>
      <c r="BV24" s="65"/>
      <c r="BW24" s="65"/>
      <c r="BX24" s="65"/>
      <c r="BY24" s="65"/>
      <c r="BZ24" s="65"/>
      <c r="CA24" s="27"/>
      <c r="CB24" s="65" t="s">
        <v>80</v>
      </c>
      <c r="CC24" s="65"/>
      <c r="CD24" s="65"/>
      <c r="CE24" s="65"/>
      <c r="CF24" s="65"/>
      <c r="CG24" s="65"/>
      <c r="CH24" s="27"/>
      <c r="CI24" s="27"/>
      <c r="CJ24" s="27"/>
      <c r="CK24" s="27"/>
    </row>
    <row r="25" spans="2:176" s="1" customFormat="1" ht="16.8" customHeight="1" x14ac:dyDescent="0.2">
      <c r="B25" s="80"/>
      <c r="C25" s="80"/>
      <c r="D25" s="80"/>
      <c r="E25" s="80"/>
      <c r="F25" s="26"/>
      <c r="G25" s="27"/>
      <c r="H25" s="27"/>
      <c r="I25" s="27"/>
      <c r="J25" s="26"/>
      <c r="K25" s="27"/>
      <c r="L25" s="81" t="s">
        <v>81</v>
      </c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28"/>
      <c r="Z25" s="28"/>
      <c r="AA25" s="28"/>
      <c r="AB25" s="28"/>
      <c r="AC25" s="28"/>
      <c r="AD25" s="28"/>
      <c r="AE25" s="28"/>
      <c r="AF25" s="28"/>
      <c r="AG25" s="27"/>
      <c r="AH25" s="27"/>
      <c r="AI25" s="27"/>
      <c r="AJ25" s="27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27"/>
      <c r="CI25" s="27"/>
      <c r="CJ25" s="27"/>
      <c r="CK25" s="27"/>
    </row>
    <row r="26" spans="2:176" s="1" customFormat="1" ht="5.55" customHeight="1" x14ac:dyDescent="0.2">
      <c r="B26" s="80"/>
      <c r="C26" s="80"/>
      <c r="D26" s="80"/>
      <c r="E26" s="80"/>
      <c r="F26" s="29"/>
      <c r="G26" s="30"/>
      <c r="H26" s="30"/>
      <c r="I26" s="30"/>
      <c r="J26" s="29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73" t="s">
        <v>79</v>
      </c>
      <c r="Z26" s="73"/>
      <c r="AA26" s="73"/>
      <c r="AB26" s="73"/>
      <c r="AC26" s="73"/>
      <c r="AD26" s="73"/>
      <c r="AE26" s="73"/>
      <c r="AF26" s="73"/>
      <c r="AG26" s="30"/>
      <c r="AH26" s="30"/>
      <c r="AI26" s="30"/>
      <c r="AJ26" s="30"/>
      <c r="AK26" s="73" t="s">
        <v>80</v>
      </c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73" t="s">
        <v>82</v>
      </c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27"/>
      <c r="CI26" s="27"/>
      <c r="CJ26" s="27"/>
      <c r="CK26" s="27"/>
    </row>
    <row r="27" spans="2:176" s="5" customFormat="1" ht="3.15" customHeight="1" x14ac:dyDescent="0.2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3" t="s">
        <v>83</v>
      </c>
      <c r="CG27" s="83"/>
      <c r="CH27" s="83"/>
      <c r="CI27" s="14"/>
      <c r="CJ27" s="14"/>
      <c r="CK27" s="14"/>
    </row>
    <row r="28" spans="2:176" ht="8.85" customHeight="1" x14ac:dyDescent="0.2">
      <c r="B28" s="27"/>
      <c r="C28" s="67" t="s">
        <v>84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8" t="s">
        <v>213</v>
      </c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83"/>
      <c r="CG28" s="83"/>
      <c r="CH28" s="83"/>
      <c r="CI28" s="27"/>
      <c r="CJ28" s="27"/>
      <c r="CK28" s="27"/>
    </row>
    <row r="29" spans="2:176" s="5" customFormat="1" ht="5.55" customHeigh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65" t="s">
        <v>85</v>
      </c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83"/>
      <c r="CG29" s="83"/>
      <c r="CH29" s="83"/>
      <c r="CI29" s="14"/>
      <c r="CJ29" s="14"/>
      <c r="CK29" s="14"/>
    </row>
    <row r="30" spans="2:176" ht="8.85" customHeight="1" x14ac:dyDescent="0.2">
      <c r="B30" s="27"/>
      <c r="C30" s="84" t="s">
        <v>86</v>
      </c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72" t="s">
        <v>87</v>
      </c>
      <c r="CG30" s="72"/>
      <c r="CH30" s="72"/>
      <c r="CI30" s="27"/>
      <c r="CJ30" s="27"/>
      <c r="CK30" s="27"/>
    </row>
    <row r="31" spans="2:176" s="5" customFormat="1" ht="5.55" customHeight="1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65" t="s">
        <v>88</v>
      </c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72"/>
      <c r="CG31" s="72"/>
      <c r="CH31" s="72"/>
      <c r="CI31" s="14"/>
      <c r="CJ31" s="14"/>
      <c r="CK31" s="14"/>
    </row>
    <row r="32" spans="2:176" s="5" customFormat="1" ht="3.15" customHeight="1" x14ac:dyDescent="0.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</row>
    <row r="33" spans="2:89" ht="8.85" customHeight="1" x14ac:dyDescent="0.2">
      <c r="B33" s="27"/>
      <c r="C33" s="67" t="s">
        <v>89</v>
      </c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31"/>
      <c r="AX33" s="31"/>
      <c r="AY33" s="27"/>
      <c r="AZ33" s="27"/>
      <c r="BA33" s="27"/>
      <c r="BB33" s="27"/>
      <c r="BC33" s="27"/>
      <c r="BD33" s="27"/>
      <c r="BE33" s="26"/>
      <c r="BF33" s="67" t="s">
        <v>90</v>
      </c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31"/>
      <c r="CG33" s="31"/>
      <c r="CH33" s="31"/>
      <c r="CI33" s="27"/>
      <c r="CJ33" s="27"/>
      <c r="CK33" s="27"/>
    </row>
    <row r="34" spans="2:89" ht="8.85" customHeight="1" x14ac:dyDescent="0.2">
      <c r="B34" s="27"/>
      <c r="C34" s="28"/>
      <c r="D34" s="28"/>
      <c r="E34" s="28"/>
      <c r="F34" s="28"/>
      <c r="G34" s="28"/>
      <c r="H34" s="28"/>
      <c r="I34" s="28"/>
      <c r="J34" s="28"/>
      <c r="K34" s="27"/>
      <c r="L34" s="27"/>
      <c r="M34" s="27"/>
      <c r="N34" s="27"/>
      <c r="O34" s="27"/>
      <c r="P34" s="27"/>
      <c r="Q34" s="28"/>
      <c r="R34" s="28"/>
      <c r="S34" s="28"/>
      <c r="T34" s="2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27"/>
      <c r="AF34" s="27"/>
      <c r="AG34" s="27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64" t="s">
        <v>91</v>
      </c>
      <c r="AX34" s="64"/>
      <c r="AY34" s="27"/>
      <c r="AZ34" s="27"/>
      <c r="BA34" s="27"/>
      <c r="BB34" s="27"/>
      <c r="BC34" s="27"/>
      <c r="BD34" s="27"/>
      <c r="BE34" s="26"/>
      <c r="BF34" s="28"/>
      <c r="BG34" s="28"/>
      <c r="BH34" s="28"/>
      <c r="BI34" s="28"/>
      <c r="BJ34" s="28"/>
      <c r="BK34" s="28"/>
      <c r="BL34" s="28"/>
      <c r="BM34" s="28"/>
      <c r="BN34" s="28"/>
      <c r="BO34" s="27"/>
      <c r="BP34" s="27"/>
      <c r="BQ34" s="68"/>
      <c r="BR34" s="68"/>
      <c r="BS34" s="68"/>
      <c r="BT34" s="68"/>
      <c r="BU34" s="68"/>
      <c r="BV34" s="68"/>
      <c r="BW34" s="68"/>
      <c r="BX34" s="27"/>
      <c r="BY34" s="27"/>
      <c r="BZ34" s="28"/>
      <c r="CA34" s="28"/>
      <c r="CB34" s="28"/>
      <c r="CC34" s="28"/>
      <c r="CD34" s="28"/>
      <c r="CE34" s="28"/>
      <c r="CF34" s="64" t="s">
        <v>92</v>
      </c>
      <c r="CG34" s="64"/>
      <c r="CH34" s="64"/>
      <c r="CI34" s="27"/>
      <c r="CJ34" s="27"/>
      <c r="CK34" s="27"/>
    </row>
    <row r="35" spans="2:89" s="5" customFormat="1" ht="5.55" customHeight="1" x14ac:dyDescent="0.2">
      <c r="B35" s="14"/>
      <c r="C35" s="65" t="s">
        <v>93</v>
      </c>
      <c r="D35" s="65"/>
      <c r="E35" s="65"/>
      <c r="F35" s="65"/>
      <c r="G35" s="65"/>
      <c r="H35" s="65"/>
      <c r="I35" s="65"/>
      <c r="J35" s="65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65" t="s">
        <v>79</v>
      </c>
      <c r="V35" s="65"/>
      <c r="W35" s="65"/>
      <c r="X35" s="65"/>
      <c r="Y35" s="65"/>
      <c r="Z35" s="65"/>
      <c r="AA35" s="65"/>
      <c r="AB35" s="65"/>
      <c r="AC35" s="65"/>
      <c r="AD35" s="65"/>
      <c r="AE35" s="14"/>
      <c r="AF35" s="14"/>
      <c r="AG35" s="14"/>
      <c r="AH35" s="65" t="s">
        <v>80</v>
      </c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4"/>
      <c r="AX35" s="64"/>
      <c r="AY35" s="14"/>
      <c r="AZ35" s="14"/>
      <c r="BA35" s="14"/>
      <c r="BB35" s="14"/>
      <c r="BC35" s="14"/>
      <c r="BD35" s="14"/>
      <c r="BE35" s="26"/>
      <c r="BF35" s="65" t="s">
        <v>93</v>
      </c>
      <c r="BG35" s="65"/>
      <c r="BH35" s="65"/>
      <c r="BI35" s="65"/>
      <c r="BJ35" s="65"/>
      <c r="BK35" s="65"/>
      <c r="BL35" s="65"/>
      <c r="BM35" s="65"/>
      <c r="BN35" s="65"/>
      <c r="BO35" s="14"/>
      <c r="BP35" s="14"/>
      <c r="BQ35" s="65" t="s">
        <v>79</v>
      </c>
      <c r="BR35" s="65"/>
      <c r="BS35" s="65"/>
      <c r="BT35" s="65"/>
      <c r="BU35" s="65"/>
      <c r="BV35" s="65"/>
      <c r="BW35" s="65"/>
      <c r="BX35" s="14"/>
      <c r="BY35" s="14"/>
      <c r="BZ35" s="65" t="s">
        <v>80</v>
      </c>
      <c r="CA35" s="65"/>
      <c r="CB35" s="65"/>
      <c r="CC35" s="65"/>
      <c r="CD35" s="65"/>
      <c r="CE35" s="65"/>
      <c r="CF35" s="64"/>
      <c r="CG35" s="64"/>
      <c r="CH35" s="64"/>
      <c r="CI35" s="14"/>
      <c r="CJ35" s="14"/>
      <c r="CK35" s="14"/>
    </row>
    <row r="36" spans="2:89" ht="8.85" customHeight="1" x14ac:dyDescent="0.2">
      <c r="B36" s="27"/>
      <c r="C36" s="67" t="s">
        <v>94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70"/>
      <c r="X36" s="70"/>
      <c r="Y36" s="70"/>
      <c r="Z36" s="70"/>
      <c r="AA36" s="70"/>
      <c r="AB36" s="70"/>
      <c r="AC36" s="70"/>
      <c r="AD36" s="70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71" t="s">
        <v>95</v>
      </c>
      <c r="AX36" s="71"/>
      <c r="AY36" s="27"/>
      <c r="AZ36" s="27"/>
      <c r="BA36" s="27"/>
      <c r="BB36" s="27"/>
      <c r="BC36" s="27"/>
      <c r="BD36" s="27"/>
      <c r="BE36" s="26"/>
      <c r="BF36" s="67" t="s">
        <v>96</v>
      </c>
      <c r="BG36" s="67"/>
      <c r="BH36" s="67"/>
      <c r="BI36" s="67"/>
      <c r="BJ36" s="67"/>
      <c r="BK36" s="67"/>
      <c r="BL36" s="67"/>
      <c r="BM36" s="67"/>
      <c r="BN36" s="67"/>
      <c r="BO36" s="27"/>
      <c r="BP36" s="27"/>
      <c r="BQ36" s="70" t="s">
        <v>97</v>
      </c>
      <c r="BR36" s="70"/>
      <c r="BS36" s="70"/>
      <c r="BT36" s="70"/>
      <c r="BU36" s="70"/>
      <c r="BV36" s="70"/>
      <c r="BW36" s="70"/>
      <c r="BX36" s="27"/>
      <c r="BY36" s="27"/>
      <c r="BZ36" s="27"/>
      <c r="CA36" s="27"/>
      <c r="CB36" s="27"/>
      <c r="CC36" s="27"/>
      <c r="CD36" s="27"/>
      <c r="CE36" s="27"/>
      <c r="CF36" s="69" t="s">
        <v>98</v>
      </c>
      <c r="CG36" s="69"/>
      <c r="CH36" s="69"/>
      <c r="CI36" s="27"/>
      <c r="CJ36" s="27"/>
      <c r="CK36" s="27"/>
    </row>
    <row r="37" spans="2:89" s="5" customFormat="1" ht="3.15" customHeight="1" x14ac:dyDescent="0.2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26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</row>
    <row r="38" spans="2:89" ht="8.85" customHeight="1" x14ac:dyDescent="0.2">
      <c r="B38" s="27"/>
      <c r="C38" s="67" t="s">
        <v>99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31"/>
      <c r="AX38" s="31"/>
      <c r="AY38" s="27"/>
      <c r="AZ38" s="27"/>
      <c r="BA38" s="27"/>
      <c r="BB38" s="27"/>
      <c r="BC38" s="27"/>
      <c r="BD38" s="27"/>
      <c r="BE38" s="26"/>
      <c r="BF38" s="67" t="s">
        <v>100</v>
      </c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31"/>
      <c r="CG38" s="31"/>
      <c r="CH38" s="31"/>
      <c r="CI38" s="27"/>
      <c r="CJ38" s="27"/>
      <c r="CK38" s="27"/>
    </row>
    <row r="39" spans="2:89" ht="8.85" customHeight="1" x14ac:dyDescent="0.2">
      <c r="B39" s="27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4" t="s">
        <v>101</v>
      </c>
      <c r="AX39" s="64"/>
      <c r="AY39" s="27"/>
      <c r="AZ39" s="27"/>
      <c r="BA39" s="27"/>
      <c r="BB39" s="27"/>
      <c r="BC39" s="27"/>
      <c r="BD39" s="27"/>
      <c r="BE39" s="26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4" t="s">
        <v>102</v>
      </c>
      <c r="CG39" s="64"/>
      <c r="CH39" s="64"/>
      <c r="CI39" s="27"/>
      <c r="CJ39" s="27"/>
      <c r="CK39" s="27"/>
    </row>
    <row r="40" spans="2:89" s="5" customFormat="1" ht="5.55" customHeight="1" x14ac:dyDescent="0.2">
      <c r="B40" s="14"/>
      <c r="C40" s="65" t="s">
        <v>103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4"/>
      <c r="AX40" s="64"/>
      <c r="AY40" s="14"/>
      <c r="AZ40" s="14"/>
      <c r="BA40" s="14"/>
      <c r="BB40" s="14"/>
      <c r="BC40" s="14"/>
      <c r="BD40" s="14"/>
      <c r="BE40" s="26"/>
      <c r="BF40" s="65" t="s">
        <v>104</v>
      </c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4"/>
      <c r="CG40" s="64"/>
      <c r="CH40" s="64"/>
      <c r="CI40" s="14"/>
      <c r="CJ40" s="14"/>
      <c r="CK40" s="14"/>
    </row>
    <row r="41" spans="2:89" ht="8.85" customHeight="1" x14ac:dyDescent="0.2">
      <c r="B41" s="27"/>
      <c r="C41" s="67" t="s">
        <v>105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31"/>
      <c r="AX41" s="31"/>
      <c r="AY41" s="27"/>
      <c r="AZ41" s="27"/>
      <c r="BA41" s="27"/>
      <c r="BB41" s="27"/>
      <c r="BC41" s="27"/>
      <c r="BD41" s="27"/>
      <c r="BE41" s="26"/>
      <c r="BF41" s="67" t="s">
        <v>105</v>
      </c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31"/>
      <c r="CG41" s="31"/>
      <c r="CH41" s="31"/>
      <c r="CI41" s="27"/>
      <c r="CJ41" s="27"/>
      <c r="CK41" s="27"/>
    </row>
    <row r="42" spans="2:89" ht="8.85" customHeight="1" x14ac:dyDescent="0.2">
      <c r="B42" s="27"/>
      <c r="C42" s="68"/>
      <c r="D42" s="68"/>
      <c r="E42" s="68"/>
      <c r="F42" s="68"/>
      <c r="G42" s="68"/>
      <c r="H42" s="68"/>
      <c r="I42" s="68"/>
      <c r="J42" s="68"/>
      <c r="K42" s="27"/>
      <c r="L42" s="27"/>
      <c r="M42" s="27"/>
      <c r="N42" s="27"/>
      <c r="O42" s="27"/>
      <c r="P42" s="27"/>
      <c r="Q42" s="28"/>
      <c r="R42" s="28"/>
      <c r="S42" s="28"/>
      <c r="T42" s="2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27"/>
      <c r="AF42" s="27"/>
      <c r="AG42" s="27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4" t="s">
        <v>106</v>
      </c>
      <c r="AX42" s="64"/>
      <c r="AY42" s="27"/>
      <c r="AZ42" s="27"/>
      <c r="BA42" s="27"/>
      <c r="BB42" s="27"/>
      <c r="BC42" s="27"/>
      <c r="BD42" s="27"/>
      <c r="BE42" s="26"/>
      <c r="BF42" s="28"/>
      <c r="BG42" s="28"/>
      <c r="BH42" s="28"/>
      <c r="BI42" s="28"/>
      <c r="BJ42" s="28"/>
      <c r="BK42" s="28"/>
      <c r="BL42" s="28"/>
      <c r="BM42" s="28"/>
      <c r="BN42" s="28"/>
      <c r="BO42" s="27"/>
      <c r="BP42" s="27"/>
      <c r="BQ42" s="68"/>
      <c r="BR42" s="68"/>
      <c r="BS42" s="68"/>
      <c r="BT42" s="68"/>
      <c r="BU42" s="68"/>
      <c r="BV42" s="68"/>
      <c r="BW42" s="68"/>
      <c r="BX42" s="27"/>
      <c r="BY42" s="27"/>
      <c r="BZ42" s="28"/>
      <c r="CA42" s="28"/>
      <c r="CB42" s="28"/>
      <c r="CC42" s="28"/>
      <c r="CD42" s="28"/>
      <c r="CE42" s="28"/>
      <c r="CF42" s="64" t="s">
        <v>107</v>
      </c>
      <c r="CG42" s="64"/>
      <c r="CH42" s="64"/>
      <c r="CI42" s="27"/>
      <c r="CJ42" s="27"/>
      <c r="CK42" s="27"/>
    </row>
    <row r="43" spans="2:89" s="5" customFormat="1" ht="5.55" customHeight="1" x14ac:dyDescent="0.2">
      <c r="B43" s="14"/>
      <c r="C43" s="65" t="s">
        <v>93</v>
      </c>
      <c r="D43" s="65"/>
      <c r="E43" s="65"/>
      <c r="F43" s="65"/>
      <c r="G43" s="65"/>
      <c r="H43" s="65"/>
      <c r="I43" s="65"/>
      <c r="J43" s="65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65" t="s">
        <v>79</v>
      </c>
      <c r="V43" s="65"/>
      <c r="W43" s="65"/>
      <c r="X43" s="65"/>
      <c r="Y43" s="65"/>
      <c r="Z43" s="65"/>
      <c r="AA43" s="65"/>
      <c r="AB43" s="65"/>
      <c r="AC43" s="65"/>
      <c r="AD43" s="65"/>
      <c r="AE43" s="14"/>
      <c r="AF43" s="14"/>
      <c r="AG43" s="14"/>
      <c r="AH43" s="65" t="s">
        <v>80</v>
      </c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4"/>
      <c r="AX43" s="64"/>
      <c r="AY43" s="14"/>
      <c r="AZ43" s="14"/>
      <c r="BA43" s="14"/>
      <c r="BB43" s="14"/>
      <c r="BC43" s="14"/>
      <c r="BD43" s="14"/>
      <c r="BE43" s="26"/>
      <c r="BF43" s="65" t="s">
        <v>93</v>
      </c>
      <c r="BG43" s="65"/>
      <c r="BH43" s="65"/>
      <c r="BI43" s="65"/>
      <c r="BJ43" s="65"/>
      <c r="BK43" s="65"/>
      <c r="BL43" s="65"/>
      <c r="BM43" s="65"/>
      <c r="BN43" s="65"/>
      <c r="BO43" s="14"/>
      <c r="BP43" s="14"/>
      <c r="BQ43" s="65" t="s">
        <v>79</v>
      </c>
      <c r="BR43" s="65"/>
      <c r="BS43" s="65"/>
      <c r="BT43" s="65"/>
      <c r="BU43" s="65"/>
      <c r="BV43" s="65"/>
      <c r="BW43" s="65"/>
      <c r="BX43" s="14"/>
      <c r="BY43" s="14"/>
      <c r="BZ43" s="65" t="s">
        <v>80</v>
      </c>
      <c r="CA43" s="65"/>
      <c r="CB43" s="65"/>
      <c r="CC43" s="65"/>
      <c r="CD43" s="65"/>
      <c r="CE43" s="65"/>
      <c r="CF43" s="64"/>
      <c r="CG43" s="64"/>
      <c r="CH43" s="64"/>
      <c r="CI43" s="14"/>
      <c r="CJ43" s="14"/>
      <c r="CK43" s="14"/>
    </row>
    <row r="44" spans="2:89" ht="8.85" customHeight="1" x14ac:dyDescent="0.2">
      <c r="B44" s="27"/>
      <c r="C44" s="67" t="s">
        <v>108</v>
      </c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31"/>
      <c r="AX44" s="31"/>
      <c r="AY44" s="27"/>
      <c r="AZ44" s="27"/>
      <c r="BA44" s="27"/>
      <c r="BB44" s="27"/>
      <c r="BC44" s="27"/>
      <c r="BD44" s="27"/>
      <c r="BE44" s="26"/>
      <c r="BF44" s="67" t="s">
        <v>109</v>
      </c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31"/>
      <c r="CG44" s="31"/>
      <c r="CH44" s="31"/>
      <c r="CI44" s="27"/>
      <c r="CJ44" s="27"/>
      <c r="CK44" s="27"/>
    </row>
    <row r="45" spans="2:89" ht="18.45" customHeight="1" x14ac:dyDescent="0.2">
      <c r="B45" s="27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4" t="s">
        <v>110</v>
      </c>
      <c r="AX45" s="64"/>
      <c r="AY45" s="27"/>
      <c r="AZ45" s="27"/>
      <c r="BA45" s="27"/>
      <c r="BB45" s="27"/>
      <c r="BC45" s="27"/>
      <c r="BD45" s="27"/>
      <c r="BE45" s="26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4" t="s">
        <v>111</v>
      </c>
      <c r="CG45" s="64"/>
      <c r="CH45" s="64"/>
      <c r="CI45" s="27"/>
      <c r="CJ45" s="27"/>
      <c r="CK45" s="27"/>
    </row>
    <row r="46" spans="2:89" s="5" customFormat="1" ht="5.55" customHeight="1" x14ac:dyDescent="0.2">
      <c r="B46" s="14"/>
      <c r="C46" s="65" t="s">
        <v>112</v>
      </c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4"/>
      <c r="AX46" s="64"/>
      <c r="AY46" s="14"/>
      <c r="AZ46" s="14"/>
      <c r="BA46" s="14"/>
      <c r="BB46" s="14"/>
      <c r="BC46" s="14"/>
      <c r="BD46" s="14"/>
      <c r="BE46" s="26"/>
      <c r="BF46" s="65" t="s">
        <v>112</v>
      </c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4"/>
      <c r="CG46" s="64"/>
      <c r="CH46" s="64"/>
      <c r="CI46" s="14"/>
      <c r="CJ46" s="14"/>
      <c r="CK46" s="14"/>
    </row>
    <row r="47" spans="2:89" ht="8.85" customHeight="1" x14ac:dyDescent="0.2">
      <c r="B47" s="27"/>
      <c r="C47" s="66" t="s">
        <v>113</v>
      </c>
      <c r="D47" s="66"/>
      <c r="E47" s="66"/>
      <c r="F47" s="66"/>
      <c r="G47" s="66"/>
      <c r="H47" s="66"/>
      <c r="I47" s="66"/>
      <c r="J47" s="66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31"/>
      <c r="AX47" s="31"/>
      <c r="AY47" s="27"/>
      <c r="AZ47" s="27"/>
      <c r="BA47" s="27"/>
      <c r="BB47" s="27"/>
      <c r="BC47" s="27"/>
      <c r="BD47" s="27"/>
      <c r="BE47" s="26"/>
      <c r="BF47" s="66" t="s">
        <v>113</v>
      </c>
      <c r="BG47" s="66"/>
      <c r="BH47" s="66"/>
      <c r="BI47" s="66"/>
      <c r="BJ47" s="66"/>
      <c r="BK47" s="66"/>
      <c r="BL47" s="66"/>
      <c r="BM47" s="66"/>
      <c r="BN47" s="66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31"/>
      <c r="CG47" s="31"/>
      <c r="CH47" s="31"/>
      <c r="CI47" s="27"/>
      <c r="CJ47" s="27"/>
      <c r="CK47" s="27"/>
    </row>
  </sheetData>
  <mergeCells count="287">
    <mergeCell ref="CG5:CI5"/>
    <mergeCell ref="B1:E3"/>
    <mergeCell ref="H1:N1"/>
    <mergeCell ref="O1:U1"/>
    <mergeCell ref="V1:W1"/>
    <mergeCell ref="X1:AG1"/>
    <mergeCell ref="AH1:AL1"/>
    <mergeCell ref="BA1:CH3"/>
    <mergeCell ref="H2:N2"/>
    <mergeCell ref="O2:U2"/>
    <mergeCell ref="AH2:AL2"/>
    <mergeCell ref="B5:C5"/>
    <mergeCell ref="G5:R5"/>
    <mergeCell ref="S5:BF5"/>
    <mergeCell ref="BG5:BH5"/>
    <mergeCell ref="BI5:BO5"/>
    <mergeCell ref="G4:R4"/>
    <mergeCell ref="S4:BF4"/>
    <mergeCell ref="BG4:BH4"/>
    <mergeCell ref="BI4:BO4"/>
    <mergeCell ref="CG4:CI4"/>
    <mergeCell ref="CG7:CI7"/>
    <mergeCell ref="G6:R6"/>
    <mergeCell ref="S6:BF6"/>
    <mergeCell ref="BG6:BH6"/>
    <mergeCell ref="BI6:BO6"/>
    <mergeCell ref="CG6:CI6"/>
    <mergeCell ref="CG8:CI9"/>
    <mergeCell ref="G9:R9"/>
    <mergeCell ref="S9:BF9"/>
    <mergeCell ref="BG9:BH9"/>
    <mergeCell ref="G8:R8"/>
    <mergeCell ref="S8:BF8"/>
    <mergeCell ref="BG8:BH8"/>
    <mergeCell ref="BI8:BX9"/>
    <mergeCell ref="BY8:CF9"/>
    <mergeCell ref="B7:E10"/>
    <mergeCell ref="G7:R7"/>
    <mergeCell ref="BN12:BS13"/>
    <mergeCell ref="BT12:CB12"/>
    <mergeCell ref="CC12:CD13"/>
    <mergeCell ref="F11:S11"/>
    <mergeCell ref="B12:E13"/>
    <mergeCell ref="F12:H13"/>
    <mergeCell ref="I12:S13"/>
    <mergeCell ref="T12:V13"/>
    <mergeCell ref="W12:Y12"/>
    <mergeCell ref="Z12:AB13"/>
    <mergeCell ref="AC12:AM13"/>
    <mergeCell ref="AN12:AR13"/>
    <mergeCell ref="S7:BF7"/>
    <mergeCell ref="BG7:BH7"/>
    <mergeCell ref="BI7:BO7"/>
    <mergeCell ref="BS7:CF7"/>
    <mergeCell ref="G10:R10"/>
    <mergeCell ref="S10:BF10"/>
    <mergeCell ref="BG10:BH10"/>
    <mergeCell ref="BB14:BI14"/>
    <mergeCell ref="BJ14:BK14"/>
    <mergeCell ref="BL14:BM14"/>
    <mergeCell ref="BN14:BS14"/>
    <mergeCell ref="CE12:CK13"/>
    <mergeCell ref="X13:Y13"/>
    <mergeCell ref="BJ13:BK13"/>
    <mergeCell ref="BL13:BM13"/>
    <mergeCell ref="BT13:BU13"/>
    <mergeCell ref="BV13:CB13"/>
    <mergeCell ref="Z14:AB14"/>
    <mergeCell ref="AC14:AM14"/>
    <mergeCell ref="AN14:AR14"/>
    <mergeCell ref="AT14:AV14"/>
    <mergeCell ref="BJ12:BM12"/>
    <mergeCell ref="BT14:BU14"/>
    <mergeCell ref="AS12:AS13"/>
    <mergeCell ref="AT12:AV13"/>
    <mergeCell ref="AW12:BA13"/>
    <mergeCell ref="BB12:BI13"/>
    <mergeCell ref="AW15:BA15"/>
    <mergeCell ref="AW14:BA14"/>
    <mergeCell ref="F15:H15"/>
    <mergeCell ref="I15:S15"/>
    <mergeCell ref="T15:V15"/>
    <mergeCell ref="X15:Y15"/>
    <mergeCell ref="Z15:AB15"/>
    <mergeCell ref="B14:E14"/>
    <mergeCell ref="F14:H14"/>
    <mergeCell ref="I14:S14"/>
    <mergeCell ref="T14:V14"/>
    <mergeCell ref="X14:Y14"/>
    <mergeCell ref="BN15:BS15"/>
    <mergeCell ref="BT15:BU15"/>
    <mergeCell ref="BR24:BZ24"/>
    <mergeCell ref="CB24:CG24"/>
    <mergeCell ref="L25:X25"/>
    <mergeCell ref="BM25:CG25"/>
    <mergeCell ref="BB16:BI16"/>
    <mergeCell ref="BV16:CB16"/>
    <mergeCell ref="AC17:AM17"/>
    <mergeCell ref="AN17:AR17"/>
    <mergeCell ref="AT17:AV17"/>
    <mergeCell ref="AW17:BA17"/>
    <mergeCell ref="BV18:CB18"/>
    <mergeCell ref="CE18:CK18"/>
    <mergeCell ref="BB19:BI19"/>
    <mergeCell ref="BJ19:BK19"/>
    <mergeCell ref="BL19:BM19"/>
    <mergeCell ref="BN19:BS19"/>
    <mergeCell ref="BT19:BU19"/>
    <mergeCell ref="BV19:CB19"/>
    <mergeCell ref="CC19:CD19"/>
    <mergeCell ref="AC15:AM15"/>
    <mergeCell ref="AN15:AR15"/>
    <mergeCell ref="AT15:AV15"/>
    <mergeCell ref="Y26:AF26"/>
    <mergeCell ref="AK26:AW26"/>
    <mergeCell ref="BM26:CG26"/>
    <mergeCell ref="C33:AV33"/>
    <mergeCell ref="BF33:CE33"/>
    <mergeCell ref="F21:S21"/>
    <mergeCell ref="AC21:AM21"/>
    <mergeCell ref="AN21:AR21"/>
    <mergeCell ref="AS21:AV21"/>
    <mergeCell ref="AW21:BA21"/>
    <mergeCell ref="BB21:BI21"/>
    <mergeCell ref="BJ21:CK21"/>
    <mergeCell ref="B23:E26"/>
    <mergeCell ref="L23:X23"/>
    <mergeCell ref="AK23:AW23"/>
    <mergeCell ref="BK23:BQ23"/>
    <mergeCell ref="CB23:CG23"/>
    <mergeCell ref="Y24:AF24"/>
    <mergeCell ref="AK24:AW24"/>
    <mergeCell ref="AA27:CE28"/>
    <mergeCell ref="CF27:CH29"/>
    <mergeCell ref="C28:Z28"/>
    <mergeCell ref="AA29:CE29"/>
    <mergeCell ref="C30:V30"/>
    <mergeCell ref="W30:CE30"/>
    <mergeCell ref="CF30:CH31"/>
    <mergeCell ref="W31:CE31"/>
    <mergeCell ref="U34:AD34"/>
    <mergeCell ref="AW34:AX35"/>
    <mergeCell ref="BQ34:BW34"/>
    <mergeCell ref="CF34:CH35"/>
    <mergeCell ref="C35:J35"/>
    <mergeCell ref="U35:AD35"/>
    <mergeCell ref="AH35:AV35"/>
    <mergeCell ref="BF35:BN35"/>
    <mergeCell ref="BQ35:BW35"/>
    <mergeCell ref="BZ35:CE35"/>
    <mergeCell ref="CF36:CH36"/>
    <mergeCell ref="C38:AV38"/>
    <mergeCell ref="BF38:CE38"/>
    <mergeCell ref="C39:AV39"/>
    <mergeCell ref="AW39:AX40"/>
    <mergeCell ref="BF39:CE39"/>
    <mergeCell ref="CF39:CH40"/>
    <mergeCell ref="C40:AV40"/>
    <mergeCell ref="BF40:CE40"/>
    <mergeCell ref="C36:V36"/>
    <mergeCell ref="W36:AD36"/>
    <mergeCell ref="AW36:AX36"/>
    <mergeCell ref="BF36:BN36"/>
    <mergeCell ref="BQ36:BW36"/>
    <mergeCell ref="CF42:CH43"/>
    <mergeCell ref="C43:J43"/>
    <mergeCell ref="U43:AD43"/>
    <mergeCell ref="AH43:AV43"/>
    <mergeCell ref="BF43:BN43"/>
    <mergeCell ref="BQ43:BW43"/>
    <mergeCell ref="BZ43:CE43"/>
    <mergeCell ref="C41:AV41"/>
    <mergeCell ref="BF41:CE41"/>
    <mergeCell ref="C42:J42"/>
    <mergeCell ref="U42:AD42"/>
    <mergeCell ref="AH42:AV42"/>
    <mergeCell ref="AW42:AX43"/>
    <mergeCell ref="BQ42:BW42"/>
    <mergeCell ref="CF45:CH46"/>
    <mergeCell ref="C46:AV46"/>
    <mergeCell ref="BF46:CE46"/>
    <mergeCell ref="C47:J47"/>
    <mergeCell ref="BF47:BN47"/>
    <mergeCell ref="C44:AV44"/>
    <mergeCell ref="BF44:CE44"/>
    <mergeCell ref="C45:AV45"/>
    <mergeCell ref="AW45:AX46"/>
    <mergeCell ref="BF45:CE45"/>
    <mergeCell ref="FE15:FK15"/>
    <mergeCell ref="FL15:FM15"/>
    <mergeCell ref="FN15:FT15"/>
    <mergeCell ref="BJ16:BK16"/>
    <mergeCell ref="CO15:CQ15"/>
    <mergeCell ref="CR15:DB15"/>
    <mergeCell ref="DC15:DE15"/>
    <mergeCell ref="DG15:DH15"/>
    <mergeCell ref="DI15:DK15"/>
    <mergeCell ref="DL15:DV15"/>
    <mergeCell ref="DW15:EA15"/>
    <mergeCell ref="EC15:EE15"/>
    <mergeCell ref="EF15:EJ15"/>
    <mergeCell ref="BV15:CB15"/>
    <mergeCell ref="CC15:CD15"/>
    <mergeCell ref="CE15:CK15"/>
    <mergeCell ref="EK15:ER15"/>
    <mergeCell ref="ES15:ET15"/>
    <mergeCell ref="EU15:EV15"/>
    <mergeCell ref="EW15:FB15"/>
    <mergeCell ref="FC15:FD15"/>
    <mergeCell ref="BL16:BM16"/>
    <mergeCell ref="BN16:BS16"/>
    <mergeCell ref="BT16:BU16"/>
    <mergeCell ref="F16:H16"/>
    <mergeCell ref="I16:S16"/>
    <mergeCell ref="T16:V16"/>
    <mergeCell ref="X16:Y16"/>
    <mergeCell ref="Z16:AB16"/>
    <mergeCell ref="AC16:AM16"/>
    <mergeCell ref="AN16:AR16"/>
    <mergeCell ref="AT16:AV16"/>
    <mergeCell ref="AW16:BA16"/>
    <mergeCell ref="F17:H17"/>
    <mergeCell ref="I17:S17"/>
    <mergeCell ref="T17:V17"/>
    <mergeCell ref="X17:Y17"/>
    <mergeCell ref="Z17:AB17"/>
    <mergeCell ref="BJ18:BK18"/>
    <mergeCell ref="BL18:BM18"/>
    <mergeCell ref="BN18:BS18"/>
    <mergeCell ref="BT18:BU18"/>
    <mergeCell ref="AC18:AM18"/>
    <mergeCell ref="AN18:AR18"/>
    <mergeCell ref="AT18:AV18"/>
    <mergeCell ref="AW18:BA18"/>
    <mergeCell ref="BB18:BI18"/>
    <mergeCell ref="F18:H18"/>
    <mergeCell ref="I18:S18"/>
    <mergeCell ref="T18:V18"/>
    <mergeCell ref="X18:Y18"/>
    <mergeCell ref="Z18:AB18"/>
    <mergeCell ref="BB17:BI17"/>
    <mergeCell ref="BJ17:BK17"/>
    <mergeCell ref="BL17:BM17"/>
    <mergeCell ref="BN17:BS17"/>
    <mergeCell ref="BT17:BU17"/>
    <mergeCell ref="F19:H19"/>
    <mergeCell ref="I19:S19"/>
    <mergeCell ref="T19:V19"/>
    <mergeCell ref="X19:Y19"/>
    <mergeCell ref="Z19:AB19"/>
    <mergeCell ref="AC20:AM20"/>
    <mergeCell ref="AN20:AR20"/>
    <mergeCell ref="AT20:AV20"/>
    <mergeCell ref="AW20:BA20"/>
    <mergeCell ref="AC19:AM19"/>
    <mergeCell ref="AN19:AR19"/>
    <mergeCell ref="AT19:AV19"/>
    <mergeCell ref="AW19:BA19"/>
    <mergeCell ref="F20:H20"/>
    <mergeCell ref="I20:S20"/>
    <mergeCell ref="T20:V20"/>
    <mergeCell ref="X20:Y20"/>
    <mergeCell ref="Z20:AB20"/>
    <mergeCell ref="BB20:BI20"/>
    <mergeCell ref="BJ20:BK20"/>
    <mergeCell ref="BL20:BM20"/>
    <mergeCell ref="BN20:BS20"/>
    <mergeCell ref="BT20:BU20"/>
    <mergeCell ref="BV20:CB20"/>
    <mergeCell ref="CC20:CD20"/>
    <mergeCell ref="CE20:CK20"/>
    <mergeCell ref="BQ4:CF4"/>
    <mergeCell ref="BQ6:CF6"/>
    <mergeCell ref="BQ5:CF5"/>
    <mergeCell ref="CE19:CK19"/>
    <mergeCell ref="BV17:CB17"/>
    <mergeCell ref="CC17:CD17"/>
    <mergeCell ref="CE17:CK17"/>
    <mergeCell ref="CC18:CD18"/>
    <mergeCell ref="CC16:CD16"/>
    <mergeCell ref="CE16:CK16"/>
    <mergeCell ref="BV14:CB14"/>
    <mergeCell ref="CC14:CD14"/>
    <mergeCell ref="CE14:CK14"/>
    <mergeCell ref="BB15:BI15"/>
    <mergeCell ref="BJ15:BK15"/>
    <mergeCell ref="BL15:BM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T47"/>
  <sheetViews>
    <sheetView workbookViewId="0">
      <selection activeCell="CP16" sqref="CP16"/>
    </sheetView>
  </sheetViews>
  <sheetFormatPr defaultColWidth="10.42578125" defaultRowHeight="10.199999999999999" x14ac:dyDescent="0.2"/>
  <cols>
    <col min="1" max="1" width="1.140625" style="1" customWidth="1"/>
    <col min="2" max="2" width="0.7109375" style="1" customWidth="1"/>
    <col min="3" max="3" width="7.7109375" style="1" customWidth="1"/>
    <col min="4" max="4" width="3.42578125" style="1" customWidth="1"/>
    <col min="5" max="5" width="3.140625" style="1" customWidth="1"/>
    <col min="6" max="6" width="0.7109375" style="1" customWidth="1"/>
    <col min="7" max="7" width="0.42578125" style="1" customWidth="1"/>
    <col min="8" max="8" width="3.42578125" style="1" customWidth="1"/>
    <col min="9" max="9" width="5.85546875" style="1" customWidth="1"/>
    <col min="10" max="10" width="2.28515625" style="1" customWidth="1"/>
    <col min="11" max="11" width="0.28515625" style="1" customWidth="1"/>
    <col min="12" max="12" width="2" style="1" customWidth="1"/>
    <col min="13" max="13" width="1.85546875" style="1" customWidth="1"/>
    <col min="14" max="14" width="3.42578125" style="1" customWidth="1"/>
    <col min="15" max="15" width="3" style="1" customWidth="1"/>
    <col min="16" max="16" width="1.85546875" style="1" customWidth="1"/>
    <col min="17" max="17" width="2.28515625" style="1" customWidth="1"/>
    <col min="18" max="18" width="2.42578125" style="1" customWidth="1"/>
    <col min="19" max="19" width="0.140625" style="1" customWidth="1"/>
    <col min="20" max="20" width="5.42578125" style="1" customWidth="1"/>
    <col min="21" max="21" width="3" style="1" customWidth="1"/>
    <col min="22" max="22" width="0.7109375" style="1" customWidth="1"/>
    <col min="23" max="23" width="4.140625" style="1" customWidth="1"/>
    <col min="24" max="24" width="1.42578125" style="1" customWidth="1"/>
    <col min="25" max="25" width="7.7109375" style="1" customWidth="1"/>
    <col min="26" max="26" width="2" style="1" customWidth="1"/>
    <col min="27" max="27" width="0.28515625" style="1" customWidth="1"/>
    <col min="28" max="28" width="6.85546875" style="1" customWidth="1"/>
    <col min="29" max="29" width="0.7109375" style="1" customWidth="1"/>
    <col min="30" max="30" width="1.7109375" style="1" customWidth="1"/>
    <col min="31" max="31" width="0.28515625" style="1" customWidth="1"/>
    <col min="32" max="32" width="1.140625" style="1" customWidth="1"/>
    <col min="33" max="34" width="0.28515625" style="1" customWidth="1"/>
    <col min="35" max="35" width="0.85546875" style="1" customWidth="1"/>
    <col min="36" max="36" width="0.28515625" style="1" customWidth="1"/>
    <col min="37" max="37" width="2.7109375" style="1" customWidth="1"/>
    <col min="38" max="38" width="0.28515625" style="1" customWidth="1"/>
    <col min="39" max="39" width="0.140625" style="1" customWidth="1"/>
    <col min="40" max="41" width="2.28515625" style="1" customWidth="1"/>
    <col min="42" max="42" width="3.85546875" style="1" customWidth="1"/>
    <col min="43" max="43" width="1.85546875" style="1" customWidth="1"/>
    <col min="44" max="44" width="0.140625" style="1" customWidth="1"/>
    <col min="45" max="45" width="11.42578125" style="1" customWidth="1"/>
    <col min="46" max="47" width="1.85546875" style="1" customWidth="1"/>
    <col min="48" max="48" width="2.7109375" style="1" customWidth="1"/>
    <col min="49" max="49" width="0.28515625" style="2" customWidth="1"/>
    <col min="50" max="50" width="3.85546875" style="2" customWidth="1"/>
    <col min="51" max="52" width="1.85546875" style="1" customWidth="1"/>
    <col min="53" max="53" width="0.28515625" style="1" customWidth="1"/>
    <col min="54" max="54" width="2.7109375" style="1" customWidth="1"/>
    <col min="55" max="55" width="3.85546875" style="1" customWidth="1"/>
    <col min="56" max="57" width="1.140625" style="1" customWidth="1"/>
    <col min="58" max="58" width="0.85546875" style="1" customWidth="1"/>
    <col min="59" max="59" width="3.42578125" style="1" customWidth="1"/>
    <col min="60" max="60" width="0.42578125" style="1" customWidth="1"/>
    <col min="61" max="61" width="0.7109375" style="1" customWidth="1"/>
    <col min="62" max="62" width="0.42578125" style="1" customWidth="1"/>
    <col min="63" max="63" width="4.85546875" style="1" customWidth="1"/>
    <col min="64" max="64" width="1" style="1" customWidth="1"/>
    <col min="65" max="65" width="10.7109375" style="1" customWidth="1"/>
    <col min="66" max="66" width="3.140625" style="1" customWidth="1"/>
    <col min="67" max="67" width="1.28515625" style="1" customWidth="1"/>
    <col min="68" max="68" width="0.42578125" style="1" customWidth="1"/>
    <col min="69" max="69" width="6" style="1" customWidth="1"/>
    <col min="70" max="70" width="4.140625" style="1" customWidth="1"/>
    <col min="71" max="71" width="2.85546875" style="1" customWidth="1"/>
    <col min="72" max="73" width="2.28515625" style="1" customWidth="1"/>
    <col min="74" max="74" width="4.140625" style="1" customWidth="1"/>
    <col min="75" max="75" width="2.85546875" style="1" customWidth="1"/>
    <col min="76" max="76" width="1.42578125" style="1" customWidth="1"/>
    <col min="77" max="77" width="0.28515625" style="1" customWidth="1"/>
    <col min="78" max="78" width="0.140625" style="1" customWidth="1"/>
    <col min="79" max="79" width="1.85546875" style="1" customWidth="1"/>
    <col min="80" max="80" width="3.85546875" style="1" customWidth="1"/>
    <col min="81" max="81" width="1.42578125" style="1" customWidth="1"/>
    <col min="82" max="82" width="14.7109375" style="1" customWidth="1"/>
    <col min="83" max="83" width="8.140625" style="1" customWidth="1"/>
    <col min="84" max="84" width="0.7109375" style="3" customWidth="1"/>
    <col min="85" max="85" width="3" style="3" customWidth="1"/>
    <col min="86" max="86" width="0.42578125" style="3" customWidth="1"/>
    <col min="87" max="87" width="0.140625" style="1" customWidth="1"/>
    <col min="88" max="88" width="0.28515625" style="1" customWidth="1"/>
    <col min="89" max="89" width="0.140625" style="1" customWidth="1"/>
    <col min="90" max="90" width="10.28515625" style="1" customWidth="1"/>
    <col min="91" max="92" width="10.42578125" style="1" customWidth="1"/>
  </cols>
  <sheetData>
    <row r="1" spans="2:176" s="4" customFormat="1" ht="6.6" customHeight="1" x14ac:dyDescent="0.2">
      <c r="B1" s="111" t="s">
        <v>0</v>
      </c>
      <c r="C1" s="111"/>
      <c r="D1" s="111"/>
      <c r="E1" s="111"/>
      <c r="F1" s="7"/>
      <c r="G1" s="8"/>
      <c r="H1" s="103" t="s">
        <v>1</v>
      </c>
      <c r="I1" s="103"/>
      <c r="J1" s="103"/>
      <c r="K1" s="103"/>
      <c r="L1" s="103"/>
      <c r="M1" s="103"/>
      <c r="N1" s="103"/>
      <c r="O1" s="112" t="s">
        <v>214</v>
      </c>
      <c r="P1" s="112"/>
      <c r="Q1" s="112"/>
      <c r="R1" s="112"/>
      <c r="S1" s="112"/>
      <c r="T1" s="112"/>
      <c r="U1" s="112"/>
      <c r="V1" s="110" t="s">
        <v>2</v>
      </c>
      <c r="W1" s="110"/>
      <c r="X1" s="112" t="s">
        <v>215</v>
      </c>
      <c r="Y1" s="112"/>
      <c r="Z1" s="112"/>
      <c r="AA1" s="112"/>
      <c r="AB1" s="112"/>
      <c r="AC1" s="112"/>
      <c r="AD1" s="112"/>
      <c r="AE1" s="112"/>
      <c r="AF1" s="112"/>
      <c r="AG1" s="112"/>
      <c r="AH1" s="108" t="s">
        <v>3</v>
      </c>
      <c r="AI1" s="108"/>
      <c r="AJ1" s="108"/>
      <c r="AK1" s="108"/>
      <c r="AL1" s="10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113" t="s">
        <v>4</v>
      </c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8"/>
      <c r="CJ1" s="8"/>
      <c r="CK1" s="8"/>
    </row>
    <row r="2" spans="2:176" s="4" customFormat="1" ht="19.8" customHeight="1" x14ac:dyDescent="0.2">
      <c r="B2" s="111"/>
      <c r="C2" s="111"/>
      <c r="D2" s="111"/>
      <c r="E2" s="111"/>
      <c r="F2" s="7"/>
      <c r="G2" s="8"/>
      <c r="H2" s="103" t="s">
        <v>5</v>
      </c>
      <c r="I2" s="103"/>
      <c r="J2" s="103"/>
      <c r="K2" s="103"/>
      <c r="L2" s="103"/>
      <c r="M2" s="103"/>
      <c r="N2" s="103"/>
      <c r="O2" s="112" t="s">
        <v>6</v>
      </c>
      <c r="P2" s="112"/>
      <c r="Q2" s="112"/>
      <c r="R2" s="112"/>
      <c r="S2" s="112"/>
      <c r="T2" s="112"/>
      <c r="U2" s="112"/>
      <c r="V2" s="9" t="s">
        <v>2</v>
      </c>
      <c r="W2" s="9"/>
      <c r="X2" s="10" t="s">
        <v>6</v>
      </c>
      <c r="Y2" s="10"/>
      <c r="Z2" s="10"/>
      <c r="AA2" s="10"/>
      <c r="AB2" s="10"/>
      <c r="AC2" s="10"/>
      <c r="AD2" s="10"/>
      <c r="AE2" s="10"/>
      <c r="AF2" s="10"/>
      <c r="AG2" s="10"/>
      <c r="AH2" s="108" t="s">
        <v>7</v>
      </c>
      <c r="AI2" s="108"/>
      <c r="AJ2" s="108"/>
      <c r="AK2" s="108"/>
      <c r="AL2" s="10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4"/>
      <c r="BS2" s="114"/>
      <c r="BT2" s="114"/>
      <c r="BU2" s="114"/>
      <c r="BV2" s="114"/>
      <c r="BW2" s="114"/>
      <c r="BX2" s="114"/>
      <c r="BY2" s="114"/>
      <c r="BZ2" s="114"/>
      <c r="CA2" s="114"/>
      <c r="CB2" s="114"/>
      <c r="CC2" s="114"/>
      <c r="CD2" s="114"/>
      <c r="CE2" s="114"/>
      <c r="CF2" s="114"/>
      <c r="CG2" s="114"/>
      <c r="CH2" s="114"/>
      <c r="CI2" s="8"/>
      <c r="CJ2" s="8"/>
      <c r="CK2" s="8"/>
    </row>
    <row r="3" spans="2:176" s="4" customFormat="1" ht="4.05" customHeight="1" x14ac:dyDescent="0.2">
      <c r="B3" s="111"/>
      <c r="C3" s="111"/>
      <c r="D3" s="111"/>
      <c r="E3" s="111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4"/>
      <c r="BV3" s="114"/>
      <c r="BW3" s="114"/>
      <c r="BX3" s="114"/>
      <c r="BY3" s="114"/>
      <c r="BZ3" s="114"/>
      <c r="CA3" s="114"/>
      <c r="CB3" s="114"/>
      <c r="CC3" s="114"/>
      <c r="CD3" s="114"/>
      <c r="CE3" s="114"/>
      <c r="CF3" s="114"/>
      <c r="CG3" s="114"/>
      <c r="CH3" s="114"/>
      <c r="CI3" s="8"/>
      <c r="CJ3" s="8"/>
      <c r="CK3" s="8"/>
    </row>
    <row r="4" spans="2:176" s="4" customFormat="1" ht="15.15" customHeight="1" x14ac:dyDescent="0.2">
      <c r="B4" s="8"/>
      <c r="C4" s="8"/>
      <c r="D4" s="8"/>
      <c r="E4" s="8"/>
      <c r="F4" s="7"/>
      <c r="G4" s="117" t="s">
        <v>8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6" t="s">
        <v>216</v>
      </c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08" t="s">
        <v>9</v>
      </c>
      <c r="BH4" s="108"/>
      <c r="BI4" s="118" t="s">
        <v>10</v>
      </c>
      <c r="BJ4" s="118"/>
      <c r="BK4" s="118"/>
      <c r="BL4" s="118"/>
      <c r="BM4" s="118"/>
      <c r="BN4" s="118"/>
      <c r="BO4" s="118"/>
      <c r="BP4" s="11"/>
      <c r="BQ4" s="46" t="s">
        <v>117</v>
      </c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108" t="s">
        <v>11</v>
      </c>
      <c r="CH4" s="108"/>
      <c r="CI4" s="108"/>
      <c r="CJ4" s="8"/>
      <c r="CK4" s="8"/>
    </row>
    <row r="5" spans="2:176" s="4" customFormat="1" ht="23.25" customHeight="1" x14ac:dyDescent="0.2">
      <c r="B5" s="115" t="s">
        <v>12</v>
      </c>
      <c r="C5" s="115"/>
      <c r="D5" s="12">
        <v>1</v>
      </c>
      <c r="E5" s="13"/>
      <c r="F5" s="7"/>
      <c r="G5" s="109" t="s">
        <v>13</v>
      </c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16" t="s">
        <v>217</v>
      </c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08" t="s">
        <v>14</v>
      </c>
      <c r="BH5" s="108"/>
      <c r="BI5" s="109" t="s">
        <v>13</v>
      </c>
      <c r="BJ5" s="109"/>
      <c r="BK5" s="109"/>
      <c r="BL5" s="109"/>
      <c r="BM5" s="109"/>
      <c r="BN5" s="109"/>
      <c r="BO5" s="109"/>
      <c r="BP5" s="11"/>
      <c r="BQ5" s="47" t="s">
        <v>119</v>
      </c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108" t="s">
        <v>15</v>
      </c>
      <c r="CH5" s="108"/>
      <c r="CI5" s="108"/>
      <c r="CJ5" s="8"/>
      <c r="CK5" s="8"/>
    </row>
    <row r="6" spans="2:176" s="4" customFormat="1" ht="8.85" customHeight="1" x14ac:dyDescent="0.2">
      <c r="B6" s="8"/>
      <c r="C6" s="8"/>
      <c r="D6" s="8"/>
      <c r="E6" s="8"/>
      <c r="F6" s="7"/>
      <c r="G6" s="109" t="s">
        <v>16</v>
      </c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7" t="s">
        <v>218</v>
      </c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8" t="s">
        <v>17</v>
      </c>
      <c r="BH6" s="108"/>
      <c r="BI6" s="109" t="s">
        <v>18</v>
      </c>
      <c r="BJ6" s="109"/>
      <c r="BK6" s="109"/>
      <c r="BL6" s="109"/>
      <c r="BM6" s="109"/>
      <c r="BN6" s="109"/>
      <c r="BO6" s="109"/>
      <c r="BP6" s="11"/>
      <c r="BQ6" s="47" t="s">
        <v>121</v>
      </c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108" t="s">
        <v>19</v>
      </c>
      <c r="CH6" s="108"/>
      <c r="CI6" s="108"/>
      <c r="CJ6" s="8"/>
      <c r="CK6" s="8"/>
    </row>
    <row r="7" spans="2:176" s="4" customFormat="1" ht="8.85" customHeight="1" x14ac:dyDescent="0.2">
      <c r="B7" s="102" t="s">
        <v>20</v>
      </c>
      <c r="C7" s="102"/>
      <c r="D7" s="102"/>
      <c r="E7" s="102"/>
      <c r="F7" s="7"/>
      <c r="G7" s="103" t="s">
        <v>21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7" t="s">
        <v>122</v>
      </c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8" t="s">
        <v>22</v>
      </c>
      <c r="BH7" s="108"/>
      <c r="BI7" s="103" t="s">
        <v>23</v>
      </c>
      <c r="BJ7" s="103"/>
      <c r="BK7" s="103"/>
      <c r="BL7" s="103"/>
      <c r="BM7" s="103"/>
      <c r="BN7" s="103"/>
      <c r="BO7" s="103"/>
      <c r="BP7" s="11"/>
      <c r="BQ7" s="11"/>
      <c r="BR7" s="11"/>
      <c r="BS7" s="107" t="s">
        <v>123</v>
      </c>
      <c r="BT7" s="107"/>
      <c r="BU7" s="107"/>
      <c r="BV7" s="107"/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8" t="s">
        <v>24</v>
      </c>
      <c r="CH7" s="108"/>
      <c r="CI7" s="108"/>
      <c r="CJ7" s="8"/>
      <c r="CK7" s="8"/>
    </row>
    <row r="8" spans="2:176" s="4" customFormat="1" ht="8.85" customHeight="1" x14ac:dyDescent="0.2">
      <c r="B8" s="102"/>
      <c r="C8" s="102"/>
      <c r="D8" s="102"/>
      <c r="E8" s="102"/>
      <c r="F8" s="7"/>
      <c r="G8" s="103" t="s">
        <v>25</v>
      </c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7" t="s">
        <v>124</v>
      </c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8" t="s">
        <v>26</v>
      </c>
      <c r="BH8" s="108"/>
      <c r="BI8" s="111" t="s">
        <v>27</v>
      </c>
      <c r="BJ8" s="111"/>
      <c r="BK8" s="111"/>
      <c r="BL8" s="111"/>
      <c r="BM8" s="111"/>
      <c r="BN8" s="111"/>
      <c r="BO8" s="111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1"/>
      <c r="CF8" s="111"/>
      <c r="CG8" s="108" t="s">
        <v>28</v>
      </c>
      <c r="CH8" s="108"/>
      <c r="CI8" s="108"/>
      <c r="CJ8" s="8"/>
      <c r="CK8" s="8"/>
    </row>
    <row r="9" spans="2:176" s="4" customFormat="1" ht="8.85" customHeight="1" x14ac:dyDescent="0.2">
      <c r="B9" s="102"/>
      <c r="C9" s="102"/>
      <c r="D9" s="102"/>
      <c r="E9" s="102"/>
      <c r="F9" s="7"/>
      <c r="G9" s="103" t="s">
        <v>29</v>
      </c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7" t="s">
        <v>219</v>
      </c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10" t="s">
        <v>30</v>
      </c>
      <c r="BH9" s="110"/>
      <c r="BI9" s="111"/>
      <c r="BJ9" s="111"/>
      <c r="BK9" s="111"/>
      <c r="BL9" s="111"/>
      <c r="BM9" s="111"/>
      <c r="BN9" s="111"/>
      <c r="BO9" s="111"/>
      <c r="BP9" s="111"/>
      <c r="BQ9" s="111"/>
      <c r="BR9" s="111"/>
      <c r="BS9" s="111"/>
      <c r="BT9" s="111"/>
      <c r="BU9" s="111"/>
      <c r="BV9" s="111"/>
      <c r="BW9" s="111"/>
      <c r="BX9" s="111"/>
      <c r="BY9" s="107"/>
      <c r="BZ9" s="107"/>
      <c r="CA9" s="107"/>
      <c r="CB9" s="107"/>
      <c r="CC9" s="107"/>
      <c r="CD9" s="107"/>
      <c r="CE9" s="107"/>
      <c r="CF9" s="107"/>
      <c r="CG9" s="108"/>
      <c r="CH9" s="108"/>
      <c r="CI9" s="108"/>
      <c r="CJ9" s="8"/>
      <c r="CK9" s="8"/>
    </row>
    <row r="10" spans="2:176" s="4" customFormat="1" ht="8.85" customHeight="1" x14ac:dyDescent="0.2">
      <c r="B10" s="102"/>
      <c r="C10" s="102"/>
      <c r="D10" s="102"/>
      <c r="E10" s="102"/>
      <c r="F10" s="7"/>
      <c r="G10" s="103" t="s">
        <v>31</v>
      </c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7" t="s">
        <v>220</v>
      </c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10" t="s">
        <v>32</v>
      </c>
      <c r="BH10" s="110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</row>
    <row r="11" spans="2:176" s="5" customFormat="1" ht="3.15" customHeight="1" x14ac:dyDescent="0.2">
      <c r="B11" s="14"/>
      <c r="C11" s="14"/>
      <c r="D11" s="14"/>
      <c r="E11" s="1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</row>
    <row r="12" spans="2:176" s="1" customFormat="1" ht="65.55" customHeight="1" x14ac:dyDescent="0.2">
      <c r="B12" s="97" t="s">
        <v>33</v>
      </c>
      <c r="C12" s="97"/>
      <c r="D12" s="97"/>
      <c r="E12" s="97"/>
      <c r="F12" s="105" t="s">
        <v>34</v>
      </c>
      <c r="G12" s="105"/>
      <c r="H12" s="105"/>
      <c r="I12" s="100" t="s">
        <v>35</v>
      </c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 t="s">
        <v>36</v>
      </c>
      <c r="U12" s="100"/>
      <c r="V12" s="100"/>
      <c r="W12" s="94" t="s">
        <v>37</v>
      </c>
      <c r="X12" s="94"/>
      <c r="Y12" s="94"/>
      <c r="Z12" s="97" t="s">
        <v>38</v>
      </c>
      <c r="AA12" s="97"/>
      <c r="AB12" s="97"/>
      <c r="AC12" s="97" t="s">
        <v>39</v>
      </c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 t="s">
        <v>40</v>
      </c>
      <c r="AO12" s="97"/>
      <c r="AP12" s="97"/>
      <c r="AQ12" s="97"/>
      <c r="AR12" s="97"/>
      <c r="AS12" s="97" t="s">
        <v>41</v>
      </c>
      <c r="AT12" s="97" t="s">
        <v>42</v>
      </c>
      <c r="AU12" s="97"/>
      <c r="AV12" s="97"/>
      <c r="AW12" s="97" t="s">
        <v>43</v>
      </c>
      <c r="AX12" s="97"/>
      <c r="AY12" s="97"/>
      <c r="AZ12" s="97"/>
      <c r="BA12" s="97"/>
      <c r="BB12" s="100" t="s">
        <v>44</v>
      </c>
      <c r="BC12" s="100"/>
      <c r="BD12" s="100"/>
      <c r="BE12" s="100"/>
      <c r="BF12" s="100"/>
      <c r="BG12" s="100"/>
      <c r="BH12" s="100"/>
      <c r="BI12" s="100"/>
      <c r="BJ12" s="51" t="s">
        <v>45</v>
      </c>
      <c r="BK12" s="51"/>
      <c r="BL12" s="51"/>
      <c r="BM12" s="51"/>
      <c r="BN12" s="100" t="s">
        <v>46</v>
      </c>
      <c r="BO12" s="100"/>
      <c r="BP12" s="100"/>
      <c r="BQ12" s="100"/>
      <c r="BR12" s="100"/>
      <c r="BS12" s="100"/>
      <c r="BT12" s="96" t="s">
        <v>47</v>
      </c>
      <c r="BU12" s="96"/>
      <c r="BV12" s="96"/>
      <c r="BW12" s="96"/>
      <c r="BX12" s="96"/>
      <c r="BY12" s="96"/>
      <c r="BZ12" s="96"/>
      <c r="CA12" s="96"/>
      <c r="CB12" s="96"/>
      <c r="CC12" s="90" t="s">
        <v>48</v>
      </c>
      <c r="CD12" s="90"/>
      <c r="CE12" s="90" t="s">
        <v>49</v>
      </c>
      <c r="CF12" s="90"/>
      <c r="CG12" s="90"/>
      <c r="CH12" s="90"/>
      <c r="CI12" s="90"/>
      <c r="CJ12" s="90"/>
      <c r="CK12" s="90"/>
    </row>
    <row r="13" spans="2:176" s="1" customFormat="1" ht="65.55" customHeight="1" x14ac:dyDescent="0.2">
      <c r="B13" s="98"/>
      <c r="C13" s="99"/>
      <c r="D13" s="99"/>
      <c r="E13" s="99"/>
      <c r="F13" s="106"/>
      <c r="G13" s="99"/>
      <c r="H13" s="99"/>
      <c r="I13" s="98"/>
      <c r="J13" s="99"/>
      <c r="K13" s="99"/>
      <c r="L13" s="99"/>
      <c r="M13" s="99"/>
      <c r="N13" s="99"/>
      <c r="O13" s="99"/>
      <c r="P13" s="99"/>
      <c r="Q13" s="99"/>
      <c r="R13" s="99"/>
      <c r="S13" s="101"/>
      <c r="T13" s="98"/>
      <c r="U13" s="99"/>
      <c r="V13" s="101"/>
      <c r="W13" s="15" t="s">
        <v>50</v>
      </c>
      <c r="X13" s="94" t="s">
        <v>51</v>
      </c>
      <c r="Y13" s="94"/>
      <c r="Z13" s="98"/>
      <c r="AA13" s="99"/>
      <c r="AB13" s="99"/>
      <c r="AC13" s="98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8"/>
      <c r="AO13" s="99"/>
      <c r="AP13" s="99"/>
      <c r="AQ13" s="99"/>
      <c r="AR13" s="99"/>
      <c r="AS13" s="98"/>
      <c r="AT13" s="98"/>
      <c r="AU13" s="99"/>
      <c r="AV13" s="99"/>
      <c r="AW13" s="98"/>
      <c r="AX13" s="99"/>
      <c r="AY13" s="99"/>
      <c r="AZ13" s="99"/>
      <c r="BA13" s="99"/>
      <c r="BB13" s="98"/>
      <c r="BC13" s="99"/>
      <c r="BD13" s="99"/>
      <c r="BE13" s="99"/>
      <c r="BF13" s="99"/>
      <c r="BG13" s="99"/>
      <c r="BH13" s="99"/>
      <c r="BI13" s="101"/>
      <c r="BJ13" s="95" t="s">
        <v>52</v>
      </c>
      <c r="BK13" s="95"/>
      <c r="BL13" s="95" t="s">
        <v>53</v>
      </c>
      <c r="BM13" s="95"/>
      <c r="BN13" s="98"/>
      <c r="BO13" s="99"/>
      <c r="BP13" s="99"/>
      <c r="BQ13" s="99"/>
      <c r="BR13" s="99"/>
      <c r="BS13" s="101"/>
      <c r="BT13" s="96" t="s">
        <v>50</v>
      </c>
      <c r="BU13" s="96"/>
      <c r="BV13" s="96" t="s">
        <v>54</v>
      </c>
      <c r="BW13" s="96"/>
      <c r="BX13" s="96"/>
      <c r="BY13" s="96"/>
      <c r="BZ13" s="96"/>
      <c r="CA13" s="96"/>
      <c r="CB13" s="96"/>
      <c r="CC13" s="91"/>
      <c r="CD13" s="93"/>
      <c r="CE13" s="91"/>
      <c r="CF13" s="92"/>
      <c r="CG13" s="92"/>
      <c r="CH13" s="92"/>
      <c r="CI13" s="92"/>
      <c r="CJ13" s="92"/>
      <c r="CK13" s="93"/>
    </row>
    <row r="14" spans="2:176" s="1" customFormat="1" ht="8.85" customHeight="1" x14ac:dyDescent="0.2">
      <c r="B14" s="86" t="s">
        <v>55</v>
      </c>
      <c r="C14" s="86"/>
      <c r="D14" s="86"/>
      <c r="E14" s="86"/>
      <c r="F14" s="87" t="s">
        <v>56</v>
      </c>
      <c r="G14" s="87"/>
      <c r="H14" s="87"/>
      <c r="I14" s="88" t="s">
        <v>57</v>
      </c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 t="s">
        <v>58</v>
      </c>
      <c r="U14" s="88"/>
      <c r="V14" s="88"/>
      <c r="W14" s="16" t="s">
        <v>59</v>
      </c>
      <c r="X14" s="86" t="s">
        <v>60</v>
      </c>
      <c r="Y14" s="86"/>
      <c r="Z14" s="86" t="s">
        <v>61</v>
      </c>
      <c r="AA14" s="86"/>
      <c r="AB14" s="86"/>
      <c r="AC14" s="86" t="s">
        <v>62</v>
      </c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 t="s">
        <v>63</v>
      </c>
      <c r="AO14" s="86"/>
      <c r="AP14" s="86"/>
      <c r="AQ14" s="86"/>
      <c r="AR14" s="86"/>
      <c r="AS14" s="16" t="s">
        <v>64</v>
      </c>
      <c r="AT14" s="86" t="s">
        <v>65</v>
      </c>
      <c r="AU14" s="86"/>
      <c r="AV14" s="86"/>
      <c r="AW14" s="86" t="s">
        <v>66</v>
      </c>
      <c r="AX14" s="86"/>
      <c r="AY14" s="86"/>
      <c r="AZ14" s="86"/>
      <c r="BA14" s="86"/>
      <c r="BB14" s="89" t="s">
        <v>67</v>
      </c>
      <c r="BC14" s="89"/>
      <c r="BD14" s="89"/>
      <c r="BE14" s="89"/>
      <c r="BF14" s="89"/>
      <c r="BG14" s="89"/>
      <c r="BH14" s="89"/>
      <c r="BI14" s="89"/>
      <c r="BJ14" s="86" t="s">
        <v>68</v>
      </c>
      <c r="BK14" s="86"/>
      <c r="BL14" s="86" t="s">
        <v>69</v>
      </c>
      <c r="BM14" s="86"/>
      <c r="BN14" s="89" t="s">
        <v>70</v>
      </c>
      <c r="BO14" s="89"/>
      <c r="BP14" s="89"/>
      <c r="BQ14" s="89"/>
      <c r="BR14" s="89"/>
      <c r="BS14" s="89"/>
      <c r="BT14" s="48" t="s">
        <v>71</v>
      </c>
      <c r="BU14" s="48"/>
      <c r="BV14" s="48" t="s">
        <v>72</v>
      </c>
      <c r="BW14" s="48"/>
      <c r="BX14" s="48"/>
      <c r="BY14" s="48"/>
      <c r="BZ14" s="48"/>
      <c r="CA14" s="48"/>
      <c r="CB14" s="48"/>
      <c r="CC14" s="48" t="s">
        <v>73</v>
      </c>
      <c r="CD14" s="48"/>
      <c r="CE14" s="48" t="s">
        <v>74</v>
      </c>
      <c r="CF14" s="48"/>
      <c r="CG14" s="48"/>
      <c r="CH14" s="48"/>
      <c r="CI14" s="48"/>
      <c r="CJ14" s="48"/>
      <c r="CK14" s="48"/>
    </row>
    <row r="15" spans="2:176" s="6" customFormat="1" ht="31.95" customHeight="1" x14ac:dyDescent="0.2">
      <c r="B15" s="17" t="s">
        <v>221</v>
      </c>
      <c r="C15" s="18"/>
      <c r="D15" s="18"/>
      <c r="E15" s="19"/>
      <c r="F15" s="49">
        <v>1</v>
      </c>
      <c r="G15" s="49"/>
      <c r="H15" s="49"/>
      <c r="I15" s="50" t="s">
        <v>222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43" t="s">
        <v>129</v>
      </c>
      <c r="U15" s="43"/>
      <c r="V15" s="43"/>
      <c r="W15" s="41">
        <v>166</v>
      </c>
      <c r="X15" s="51" t="s">
        <v>130</v>
      </c>
      <c r="Y15" s="51"/>
      <c r="Z15" s="52">
        <v>18</v>
      </c>
      <c r="AA15" s="53"/>
      <c r="AB15" s="54"/>
      <c r="AC15" s="55">
        <v>145</v>
      </c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>
        <f t="shared" ref="AN15:AN20" si="0">ROUND(Z15*AC15,2)</f>
        <v>2610</v>
      </c>
      <c r="AO15" s="56"/>
      <c r="AP15" s="56"/>
      <c r="AQ15" s="56"/>
      <c r="AR15" s="56"/>
      <c r="AS15" s="32" t="s">
        <v>131</v>
      </c>
      <c r="AT15" s="57">
        <v>0.1</v>
      </c>
      <c r="AU15" s="58"/>
      <c r="AV15" s="59"/>
      <c r="AW15" s="60">
        <f t="shared" ref="AW15:AW20" si="1">ROUND(AN15*AT15,2)</f>
        <v>261</v>
      </c>
      <c r="AX15" s="61"/>
      <c r="AY15" s="61"/>
      <c r="AZ15" s="61"/>
      <c r="BA15" s="61"/>
      <c r="BB15" s="42">
        <f>ROUND(AN15+AW15,2)</f>
        <v>2871</v>
      </c>
      <c r="BC15" s="42"/>
      <c r="BD15" s="42"/>
      <c r="BE15" s="42"/>
      <c r="BF15" s="42"/>
      <c r="BG15" s="42"/>
      <c r="BH15" s="42"/>
      <c r="BI15" s="42"/>
      <c r="BJ15" s="43">
        <v>643</v>
      </c>
      <c r="BK15" s="43"/>
      <c r="BL15" s="43" t="s">
        <v>132</v>
      </c>
      <c r="BM15" s="43"/>
      <c r="BN15" s="43"/>
      <c r="BO15" s="43"/>
      <c r="BP15" s="43"/>
      <c r="BQ15" s="43"/>
      <c r="BR15" s="43"/>
      <c r="BS15" s="43"/>
      <c r="BT15" s="44"/>
      <c r="BU15" s="44"/>
      <c r="BV15" s="44"/>
      <c r="BW15" s="44"/>
      <c r="BX15" s="44"/>
      <c r="BY15" s="44"/>
      <c r="BZ15" s="44"/>
      <c r="CA15" s="44"/>
      <c r="CB15" s="44"/>
      <c r="CC15" s="45"/>
      <c r="CD15" s="45"/>
      <c r="CE15" s="45"/>
      <c r="CF15" s="45"/>
      <c r="CG15" s="45"/>
      <c r="CH15" s="45"/>
      <c r="CI15" s="45"/>
      <c r="CJ15" s="45"/>
      <c r="CK15" s="45"/>
      <c r="CL15" s="18"/>
      <c r="CM15" s="18"/>
      <c r="CN15" s="19"/>
      <c r="CO15" s="49"/>
      <c r="CP15" s="49"/>
      <c r="CQ15" s="49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20"/>
      <c r="DG15" s="43"/>
      <c r="DH15" s="43"/>
      <c r="DI15" s="62"/>
      <c r="DJ15" s="62"/>
      <c r="DK15" s="62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1"/>
      <c r="DX15" s="61"/>
      <c r="DY15" s="61"/>
      <c r="DZ15" s="61"/>
      <c r="EA15" s="61"/>
      <c r="EB15" s="21"/>
      <c r="EC15" s="43"/>
      <c r="ED15" s="43"/>
      <c r="EE15" s="43"/>
      <c r="EF15" s="61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4"/>
      <c r="FD15" s="44"/>
      <c r="FE15" s="44"/>
      <c r="FF15" s="44"/>
      <c r="FG15" s="44"/>
      <c r="FH15" s="44"/>
      <c r="FI15" s="44"/>
      <c r="FJ15" s="44"/>
      <c r="FK15" s="44"/>
      <c r="FL15" s="45"/>
      <c r="FM15" s="45"/>
      <c r="FN15" s="45"/>
      <c r="FO15" s="45"/>
      <c r="FP15" s="45"/>
      <c r="FQ15" s="45"/>
      <c r="FR15" s="45"/>
      <c r="FS15" s="45"/>
      <c r="FT15" s="45"/>
    </row>
    <row r="16" spans="2:176" s="6" customFormat="1" ht="31.95" customHeight="1" x14ac:dyDescent="0.2">
      <c r="B16" s="17" t="s">
        <v>223</v>
      </c>
      <c r="C16" s="18"/>
      <c r="D16" s="18"/>
      <c r="E16" s="19"/>
      <c r="F16" s="49">
        <v>2</v>
      </c>
      <c r="G16" s="49"/>
      <c r="H16" s="49"/>
      <c r="I16" s="50" t="s">
        <v>224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43" t="s">
        <v>129</v>
      </c>
      <c r="U16" s="43"/>
      <c r="V16" s="43"/>
      <c r="W16" s="41">
        <v>166</v>
      </c>
      <c r="X16" s="51" t="s">
        <v>130</v>
      </c>
      <c r="Y16" s="51"/>
      <c r="Z16" s="52">
        <v>22</v>
      </c>
      <c r="AA16" s="53"/>
      <c r="AB16" s="54"/>
      <c r="AC16" s="55">
        <v>130</v>
      </c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>
        <f t="shared" si="0"/>
        <v>2860</v>
      </c>
      <c r="AO16" s="56"/>
      <c r="AP16" s="56"/>
      <c r="AQ16" s="56"/>
      <c r="AR16" s="56"/>
      <c r="AS16" s="32" t="s">
        <v>131</v>
      </c>
      <c r="AT16" s="57">
        <v>0.1</v>
      </c>
      <c r="AU16" s="58"/>
      <c r="AV16" s="59"/>
      <c r="AW16" s="60">
        <f t="shared" si="1"/>
        <v>286</v>
      </c>
      <c r="AX16" s="61"/>
      <c r="AY16" s="61"/>
      <c r="AZ16" s="61"/>
      <c r="BA16" s="61"/>
      <c r="BB16" s="42">
        <f t="shared" ref="BB16:BB20" si="2">ROUND(AN16+AW16,2)</f>
        <v>3146</v>
      </c>
      <c r="BC16" s="42"/>
      <c r="BD16" s="42"/>
      <c r="BE16" s="42"/>
      <c r="BF16" s="42"/>
      <c r="BG16" s="42"/>
      <c r="BH16" s="42"/>
      <c r="BI16" s="42"/>
      <c r="BJ16" s="43">
        <v>643</v>
      </c>
      <c r="BK16" s="43"/>
      <c r="BL16" s="43" t="s">
        <v>132</v>
      </c>
      <c r="BM16" s="43"/>
      <c r="BN16" s="43"/>
      <c r="BO16" s="43"/>
      <c r="BP16" s="43"/>
      <c r="BQ16" s="43"/>
      <c r="BR16" s="43"/>
      <c r="BS16" s="43"/>
      <c r="BT16" s="44"/>
      <c r="BU16" s="44"/>
      <c r="BV16" s="44"/>
      <c r="BW16" s="44"/>
      <c r="BX16" s="44"/>
      <c r="BY16" s="44"/>
      <c r="BZ16" s="44"/>
      <c r="CA16" s="44"/>
      <c r="CB16" s="44"/>
      <c r="CC16" s="45"/>
      <c r="CD16" s="45"/>
      <c r="CE16" s="45"/>
      <c r="CF16" s="45"/>
      <c r="CG16" s="45"/>
      <c r="CH16" s="45"/>
      <c r="CI16" s="45"/>
      <c r="CJ16" s="45"/>
      <c r="CK16" s="45"/>
      <c r="CL16" s="33"/>
      <c r="CM16" s="33"/>
      <c r="CN16" s="33"/>
      <c r="CO16" s="34"/>
      <c r="CP16" s="34"/>
      <c r="CQ16" s="34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5"/>
      <c r="DJ16" s="35"/>
      <c r="DK16" s="35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7"/>
      <c r="DX16" s="37"/>
      <c r="DY16" s="37"/>
      <c r="DZ16" s="37"/>
      <c r="EA16" s="37"/>
      <c r="EB16" s="38"/>
      <c r="EC16" s="33"/>
      <c r="ED16" s="33"/>
      <c r="EE16" s="33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9"/>
      <c r="FD16" s="39"/>
      <c r="FE16" s="39"/>
      <c r="FF16" s="39"/>
      <c r="FG16" s="39"/>
      <c r="FH16" s="39"/>
      <c r="FI16" s="39"/>
      <c r="FJ16" s="39"/>
      <c r="FK16" s="39"/>
      <c r="FL16" s="40"/>
      <c r="FM16" s="40"/>
      <c r="FN16" s="40"/>
      <c r="FO16" s="40"/>
      <c r="FP16" s="40"/>
      <c r="FQ16" s="40"/>
      <c r="FR16" s="40"/>
      <c r="FS16" s="40"/>
      <c r="FT16" s="40"/>
    </row>
    <row r="17" spans="2:176" s="6" customFormat="1" ht="31.95" customHeight="1" x14ac:dyDescent="0.2">
      <c r="B17" s="17" t="s">
        <v>225</v>
      </c>
      <c r="C17" s="18"/>
      <c r="D17" s="18"/>
      <c r="E17" s="19"/>
      <c r="F17" s="49">
        <v>3</v>
      </c>
      <c r="G17" s="49"/>
      <c r="H17" s="49"/>
      <c r="I17" s="50" t="s">
        <v>226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43" t="s">
        <v>129</v>
      </c>
      <c r="U17" s="43"/>
      <c r="V17" s="43"/>
      <c r="W17" s="41">
        <v>166</v>
      </c>
      <c r="X17" s="51" t="s">
        <v>130</v>
      </c>
      <c r="Y17" s="51"/>
      <c r="Z17" s="52">
        <v>14</v>
      </c>
      <c r="AA17" s="53"/>
      <c r="AB17" s="54"/>
      <c r="AC17" s="55">
        <v>160</v>
      </c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>
        <f t="shared" si="0"/>
        <v>2240</v>
      </c>
      <c r="AO17" s="56"/>
      <c r="AP17" s="56"/>
      <c r="AQ17" s="56"/>
      <c r="AR17" s="56"/>
      <c r="AS17" s="32" t="s">
        <v>131</v>
      </c>
      <c r="AT17" s="57">
        <v>0.1</v>
      </c>
      <c r="AU17" s="58"/>
      <c r="AV17" s="59"/>
      <c r="AW17" s="60">
        <f t="shared" si="1"/>
        <v>224</v>
      </c>
      <c r="AX17" s="61"/>
      <c r="AY17" s="61"/>
      <c r="AZ17" s="61"/>
      <c r="BA17" s="61"/>
      <c r="BB17" s="42">
        <f t="shared" si="2"/>
        <v>2464</v>
      </c>
      <c r="BC17" s="42"/>
      <c r="BD17" s="42"/>
      <c r="BE17" s="42"/>
      <c r="BF17" s="42"/>
      <c r="BG17" s="42"/>
      <c r="BH17" s="42"/>
      <c r="BI17" s="42"/>
      <c r="BJ17" s="43">
        <v>643</v>
      </c>
      <c r="BK17" s="43"/>
      <c r="BL17" s="43" t="s">
        <v>132</v>
      </c>
      <c r="BM17" s="43"/>
      <c r="BN17" s="43"/>
      <c r="BO17" s="43"/>
      <c r="BP17" s="43"/>
      <c r="BQ17" s="43"/>
      <c r="BR17" s="43"/>
      <c r="BS17" s="43"/>
      <c r="BT17" s="44"/>
      <c r="BU17" s="44"/>
      <c r="BV17" s="44"/>
      <c r="BW17" s="44"/>
      <c r="BX17" s="44"/>
      <c r="BY17" s="44"/>
      <c r="BZ17" s="44"/>
      <c r="CA17" s="44"/>
      <c r="CB17" s="44"/>
      <c r="CC17" s="45"/>
      <c r="CD17" s="45"/>
      <c r="CE17" s="45"/>
      <c r="CF17" s="45"/>
      <c r="CG17" s="45"/>
      <c r="CH17" s="45"/>
      <c r="CI17" s="45"/>
      <c r="CJ17" s="45"/>
      <c r="CK17" s="45"/>
      <c r="CL17" s="33"/>
      <c r="CM17" s="33"/>
      <c r="CN17" s="33"/>
      <c r="CO17" s="34"/>
      <c r="CP17" s="34"/>
      <c r="CQ17" s="34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5"/>
      <c r="DJ17" s="35"/>
      <c r="DK17" s="35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7"/>
      <c r="DX17" s="37"/>
      <c r="DY17" s="37"/>
      <c r="DZ17" s="37"/>
      <c r="EA17" s="37"/>
      <c r="EB17" s="38"/>
      <c r="EC17" s="33"/>
      <c r="ED17" s="33"/>
      <c r="EE17" s="33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9"/>
      <c r="FD17" s="39"/>
      <c r="FE17" s="39"/>
      <c r="FF17" s="39"/>
      <c r="FG17" s="39"/>
      <c r="FH17" s="39"/>
      <c r="FI17" s="39"/>
      <c r="FJ17" s="39"/>
      <c r="FK17" s="39"/>
      <c r="FL17" s="40"/>
      <c r="FM17" s="40"/>
      <c r="FN17" s="40"/>
      <c r="FO17" s="40"/>
      <c r="FP17" s="40"/>
      <c r="FQ17" s="40"/>
      <c r="FR17" s="40"/>
      <c r="FS17" s="40"/>
      <c r="FT17" s="40"/>
    </row>
    <row r="18" spans="2:176" s="6" customFormat="1" ht="31.95" customHeight="1" x14ac:dyDescent="0.2">
      <c r="B18" s="17" t="s">
        <v>227</v>
      </c>
      <c r="C18" s="18"/>
      <c r="D18" s="18"/>
      <c r="E18" s="19"/>
      <c r="F18" s="49">
        <v>4</v>
      </c>
      <c r="G18" s="49"/>
      <c r="H18" s="49"/>
      <c r="I18" s="50" t="s">
        <v>228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43" t="s">
        <v>129</v>
      </c>
      <c r="U18" s="43"/>
      <c r="V18" s="43"/>
      <c r="W18" s="41">
        <v>166</v>
      </c>
      <c r="X18" s="51" t="s">
        <v>130</v>
      </c>
      <c r="Y18" s="51"/>
      <c r="Z18" s="52">
        <v>6</v>
      </c>
      <c r="AA18" s="53"/>
      <c r="AB18" s="54"/>
      <c r="AC18" s="55">
        <v>235</v>
      </c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>
        <f t="shared" si="0"/>
        <v>1410</v>
      </c>
      <c r="AO18" s="56"/>
      <c r="AP18" s="56"/>
      <c r="AQ18" s="56"/>
      <c r="AR18" s="56"/>
      <c r="AS18" s="32" t="s">
        <v>131</v>
      </c>
      <c r="AT18" s="57">
        <v>0.1</v>
      </c>
      <c r="AU18" s="58"/>
      <c r="AV18" s="59"/>
      <c r="AW18" s="60">
        <f t="shared" si="1"/>
        <v>141</v>
      </c>
      <c r="AX18" s="61"/>
      <c r="AY18" s="61"/>
      <c r="AZ18" s="61"/>
      <c r="BA18" s="61"/>
      <c r="BB18" s="42">
        <f t="shared" si="2"/>
        <v>1551</v>
      </c>
      <c r="BC18" s="42"/>
      <c r="BD18" s="42"/>
      <c r="BE18" s="42"/>
      <c r="BF18" s="42"/>
      <c r="BG18" s="42"/>
      <c r="BH18" s="42"/>
      <c r="BI18" s="42"/>
      <c r="BJ18" s="43">
        <v>643</v>
      </c>
      <c r="BK18" s="43"/>
      <c r="BL18" s="43" t="s">
        <v>132</v>
      </c>
      <c r="BM18" s="43"/>
      <c r="BN18" s="43"/>
      <c r="BO18" s="43"/>
      <c r="BP18" s="43"/>
      <c r="BQ18" s="43"/>
      <c r="BR18" s="43"/>
      <c r="BS18" s="43"/>
      <c r="BT18" s="44"/>
      <c r="BU18" s="44"/>
      <c r="BV18" s="44"/>
      <c r="BW18" s="44"/>
      <c r="BX18" s="44"/>
      <c r="BY18" s="44"/>
      <c r="BZ18" s="44"/>
      <c r="CA18" s="44"/>
      <c r="CB18" s="44"/>
      <c r="CC18" s="45"/>
      <c r="CD18" s="45"/>
      <c r="CE18" s="45"/>
      <c r="CF18" s="45"/>
      <c r="CG18" s="45"/>
      <c r="CH18" s="45"/>
      <c r="CI18" s="45"/>
      <c r="CJ18" s="45"/>
      <c r="CK18" s="45"/>
      <c r="CL18" s="33"/>
      <c r="CM18" s="33"/>
      <c r="CN18" s="33"/>
      <c r="CO18" s="34"/>
      <c r="CP18" s="34"/>
      <c r="CQ18" s="34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5"/>
      <c r="DJ18" s="35"/>
      <c r="DK18" s="35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7"/>
      <c r="DX18" s="37"/>
      <c r="DY18" s="37"/>
      <c r="DZ18" s="37"/>
      <c r="EA18" s="37"/>
      <c r="EB18" s="38"/>
      <c r="EC18" s="33"/>
      <c r="ED18" s="33"/>
      <c r="EE18" s="33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9"/>
      <c r="FD18" s="39"/>
      <c r="FE18" s="39"/>
      <c r="FF18" s="39"/>
      <c r="FG18" s="39"/>
      <c r="FH18" s="39"/>
      <c r="FI18" s="39"/>
      <c r="FJ18" s="39"/>
      <c r="FK18" s="39"/>
      <c r="FL18" s="40"/>
      <c r="FM18" s="40"/>
      <c r="FN18" s="40"/>
      <c r="FO18" s="40"/>
      <c r="FP18" s="40"/>
      <c r="FQ18" s="40"/>
      <c r="FR18" s="40"/>
      <c r="FS18" s="40"/>
      <c r="FT18" s="40"/>
    </row>
    <row r="19" spans="2:176" s="6" customFormat="1" ht="31.95" customHeight="1" x14ac:dyDescent="0.2">
      <c r="B19" s="17" t="s">
        <v>229</v>
      </c>
      <c r="C19" s="18"/>
      <c r="D19" s="18"/>
      <c r="E19" s="19"/>
      <c r="F19" s="49">
        <v>5</v>
      </c>
      <c r="G19" s="49"/>
      <c r="H19" s="49"/>
      <c r="I19" s="50" t="s">
        <v>234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43" t="s">
        <v>129</v>
      </c>
      <c r="U19" s="43"/>
      <c r="V19" s="43"/>
      <c r="W19" s="41">
        <v>796</v>
      </c>
      <c r="X19" s="51" t="s">
        <v>155</v>
      </c>
      <c r="Y19" s="51"/>
      <c r="Z19" s="52">
        <v>24</v>
      </c>
      <c r="AA19" s="53"/>
      <c r="AB19" s="54"/>
      <c r="AC19" s="55">
        <v>125</v>
      </c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>
        <f t="shared" si="0"/>
        <v>3000</v>
      </c>
      <c r="AO19" s="56"/>
      <c r="AP19" s="56"/>
      <c r="AQ19" s="56"/>
      <c r="AR19" s="56"/>
      <c r="AS19" s="32" t="s">
        <v>131</v>
      </c>
      <c r="AT19" s="57">
        <v>0.2</v>
      </c>
      <c r="AU19" s="58"/>
      <c r="AV19" s="59"/>
      <c r="AW19" s="60">
        <f t="shared" si="1"/>
        <v>600</v>
      </c>
      <c r="AX19" s="61"/>
      <c r="AY19" s="61"/>
      <c r="AZ19" s="61"/>
      <c r="BA19" s="61"/>
      <c r="BB19" s="42">
        <f t="shared" si="2"/>
        <v>3600</v>
      </c>
      <c r="BC19" s="42"/>
      <c r="BD19" s="42"/>
      <c r="BE19" s="42"/>
      <c r="BF19" s="42"/>
      <c r="BG19" s="42"/>
      <c r="BH19" s="42"/>
      <c r="BI19" s="42"/>
      <c r="BJ19" s="43">
        <v>643</v>
      </c>
      <c r="BK19" s="43"/>
      <c r="BL19" s="43" t="s">
        <v>132</v>
      </c>
      <c r="BM19" s="43"/>
      <c r="BN19" s="43"/>
      <c r="BO19" s="43"/>
      <c r="BP19" s="43"/>
      <c r="BQ19" s="43"/>
      <c r="BR19" s="43"/>
      <c r="BS19" s="43"/>
      <c r="BT19" s="44"/>
      <c r="BU19" s="44"/>
      <c r="BV19" s="44"/>
      <c r="BW19" s="44"/>
      <c r="BX19" s="44"/>
      <c r="BY19" s="44"/>
      <c r="BZ19" s="44"/>
      <c r="CA19" s="44"/>
      <c r="CB19" s="44"/>
      <c r="CC19" s="45"/>
      <c r="CD19" s="45"/>
      <c r="CE19" s="45"/>
      <c r="CF19" s="45"/>
      <c r="CG19" s="45"/>
      <c r="CH19" s="45"/>
      <c r="CI19" s="45"/>
      <c r="CJ19" s="45"/>
      <c r="CK19" s="45"/>
      <c r="CL19" s="33"/>
      <c r="CM19" s="33"/>
      <c r="CN19" s="33"/>
      <c r="CO19" s="34"/>
      <c r="CP19" s="34"/>
      <c r="CQ19" s="34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5"/>
      <c r="DJ19" s="35"/>
      <c r="DK19" s="35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7"/>
      <c r="DX19" s="37"/>
      <c r="DY19" s="37"/>
      <c r="DZ19" s="37"/>
      <c r="EA19" s="37"/>
      <c r="EB19" s="38"/>
      <c r="EC19" s="33"/>
      <c r="ED19" s="33"/>
      <c r="EE19" s="33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9"/>
      <c r="FD19" s="39"/>
      <c r="FE19" s="39"/>
      <c r="FF19" s="39"/>
      <c r="FG19" s="39"/>
      <c r="FH19" s="39"/>
      <c r="FI19" s="39"/>
      <c r="FJ19" s="39"/>
      <c r="FK19" s="39"/>
      <c r="FL19" s="40"/>
      <c r="FM19" s="40"/>
      <c r="FN19" s="40"/>
      <c r="FO19" s="40"/>
      <c r="FP19" s="40"/>
      <c r="FQ19" s="40"/>
      <c r="FR19" s="40"/>
      <c r="FS19" s="40"/>
      <c r="FT19" s="40"/>
    </row>
    <row r="20" spans="2:176" s="6" customFormat="1" ht="31.95" customHeight="1" x14ac:dyDescent="0.2">
      <c r="B20" s="17" t="s">
        <v>230</v>
      </c>
      <c r="C20" s="18"/>
      <c r="D20" s="18"/>
      <c r="E20" s="19"/>
      <c r="F20" s="49">
        <v>6</v>
      </c>
      <c r="G20" s="49"/>
      <c r="H20" s="49"/>
      <c r="I20" s="50" t="s">
        <v>235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43" t="s">
        <v>129</v>
      </c>
      <c r="U20" s="43"/>
      <c r="V20" s="43"/>
      <c r="W20" s="41">
        <v>796</v>
      </c>
      <c r="X20" s="51" t="s">
        <v>155</v>
      </c>
      <c r="Y20" s="51"/>
      <c r="Z20" s="52">
        <v>180</v>
      </c>
      <c r="AA20" s="53"/>
      <c r="AB20" s="54"/>
      <c r="AC20" s="55">
        <v>12</v>
      </c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>
        <f t="shared" si="0"/>
        <v>2160</v>
      </c>
      <c r="AO20" s="56"/>
      <c r="AP20" s="56"/>
      <c r="AQ20" s="56"/>
      <c r="AR20" s="56"/>
      <c r="AS20" s="32" t="s">
        <v>131</v>
      </c>
      <c r="AT20" s="57">
        <v>0.1</v>
      </c>
      <c r="AU20" s="58"/>
      <c r="AV20" s="59"/>
      <c r="AW20" s="60">
        <f t="shared" si="1"/>
        <v>216</v>
      </c>
      <c r="AX20" s="61"/>
      <c r="AY20" s="61"/>
      <c r="AZ20" s="61"/>
      <c r="BA20" s="61"/>
      <c r="BB20" s="42">
        <f t="shared" si="2"/>
        <v>2376</v>
      </c>
      <c r="BC20" s="42"/>
      <c r="BD20" s="42"/>
      <c r="BE20" s="42"/>
      <c r="BF20" s="42"/>
      <c r="BG20" s="42"/>
      <c r="BH20" s="42"/>
      <c r="BI20" s="42"/>
      <c r="BJ20" s="43">
        <v>643</v>
      </c>
      <c r="BK20" s="43"/>
      <c r="BL20" s="43" t="s">
        <v>132</v>
      </c>
      <c r="BM20" s="43"/>
      <c r="BN20" s="43"/>
      <c r="BO20" s="43"/>
      <c r="BP20" s="43"/>
      <c r="BQ20" s="43"/>
      <c r="BR20" s="43"/>
      <c r="BS20" s="43"/>
      <c r="BT20" s="44"/>
      <c r="BU20" s="44"/>
      <c r="BV20" s="44"/>
      <c r="BW20" s="44"/>
      <c r="BX20" s="44"/>
      <c r="BY20" s="44"/>
      <c r="BZ20" s="44"/>
      <c r="CA20" s="44"/>
      <c r="CB20" s="44"/>
      <c r="CC20" s="45"/>
      <c r="CD20" s="45"/>
      <c r="CE20" s="45"/>
      <c r="CF20" s="45"/>
      <c r="CG20" s="45"/>
      <c r="CH20" s="45"/>
      <c r="CI20" s="45"/>
      <c r="CJ20" s="45"/>
      <c r="CK20" s="45"/>
      <c r="CL20" s="33"/>
      <c r="CM20" s="33"/>
      <c r="CN20" s="33"/>
      <c r="CO20" s="34"/>
      <c r="CP20" s="34"/>
      <c r="CQ20" s="34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5"/>
      <c r="DJ20" s="35"/>
      <c r="DK20" s="35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7"/>
      <c r="DX20" s="37"/>
      <c r="DY20" s="37"/>
      <c r="DZ20" s="37"/>
      <c r="EA20" s="37"/>
      <c r="EB20" s="38"/>
      <c r="EC20" s="33"/>
      <c r="ED20" s="33"/>
      <c r="EE20" s="33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9"/>
      <c r="FD20" s="39"/>
      <c r="FE20" s="39"/>
      <c r="FF20" s="39"/>
      <c r="FG20" s="39"/>
      <c r="FH20" s="39"/>
      <c r="FI20" s="39"/>
      <c r="FJ20" s="39"/>
      <c r="FK20" s="39"/>
      <c r="FL20" s="40"/>
      <c r="FM20" s="40"/>
      <c r="FN20" s="40"/>
      <c r="FO20" s="40"/>
      <c r="FP20" s="40"/>
      <c r="FQ20" s="40"/>
      <c r="FR20" s="40"/>
      <c r="FS20" s="40"/>
      <c r="FT20" s="40"/>
    </row>
    <row r="21" spans="2:176" s="1" customFormat="1" ht="8.85" customHeight="1" x14ac:dyDescent="0.2">
      <c r="B21" s="22"/>
      <c r="C21" s="23"/>
      <c r="D21" s="23"/>
      <c r="E21" s="24"/>
      <c r="F21" s="74" t="s">
        <v>75</v>
      </c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25"/>
      <c r="U21" s="25"/>
      <c r="V21" s="25"/>
      <c r="W21" s="25"/>
      <c r="X21" s="25"/>
      <c r="Y21" s="25"/>
      <c r="Z21" s="25"/>
      <c r="AA21" s="25"/>
      <c r="AB21" s="2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6">
        <f>SUM(AN15:AN20)</f>
        <v>14280</v>
      </c>
      <c r="AO21" s="77"/>
      <c r="AP21" s="77"/>
      <c r="AQ21" s="77"/>
      <c r="AR21" s="77"/>
      <c r="AS21" s="78" t="s">
        <v>76</v>
      </c>
      <c r="AT21" s="78"/>
      <c r="AU21" s="78"/>
      <c r="AV21" s="78"/>
      <c r="AW21" s="76">
        <f>SUM(AW15:AW20)</f>
        <v>1728</v>
      </c>
      <c r="AX21" s="77"/>
      <c r="AY21" s="77"/>
      <c r="AZ21" s="77"/>
      <c r="BA21" s="77"/>
      <c r="BB21" s="76">
        <f>SUM(BB15:BB20)</f>
        <v>16008</v>
      </c>
      <c r="BC21" s="77"/>
      <c r="BD21" s="77"/>
      <c r="BE21" s="77"/>
      <c r="BF21" s="77"/>
      <c r="BG21" s="77"/>
      <c r="BH21" s="77"/>
      <c r="BI21" s="77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</row>
    <row r="22" spans="2:176" s="5" customFormat="1" ht="3.15" customHeight="1" x14ac:dyDescent="0.2">
      <c r="B22" s="14"/>
      <c r="C22" s="14"/>
      <c r="D22" s="14"/>
      <c r="E22" s="14"/>
      <c r="F22" s="26"/>
      <c r="G22" s="27"/>
      <c r="H22" s="27"/>
      <c r="I22" s="27"/>
      <c r="J22" s="26"/>
      <c r="K22" s="27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</row>
    <row r="23" spans="2:176" s="1" customFormat="1" ht="16.8" customHeight="1" x14ac:dyDescent="0.2">
      <c r="B23" s="80"/>
      <c r="C23" s="80"/>
      <c r="D23" s="80"/>
      <c r="E23" s="80"/>
      <c r="F23" s="26"/>
      <c r="G23" s="27"/>
      <c r="H23" s="27"/>
      <c r="I23" s="27"/>
      <c r="J23" s="26"/>
      <c r="K23" s="27"/>
      <c r="L23" s="81" t="s">
        <v>77</v>
      </c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28"/>
      <c r="Z23" s="28"/>
      <c r="AA23" s="28"/>
      <c r="AB23" s="28"/>
      <c r="AC23" s="28"/>
      <c r="AD23" s="28"/>
      <c r="AE23" s="28"/>
      <c r="AF23" s="28"/>
      <c r="AG23" s="27"/>
      <c r="AH23" s="27"/>
      <c r="AI23" s="27"/>
      <c r="AJ23" s="27"/>
      <c r="AK23" s="68" t="s">
        <v>231</v>
      </c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82" t="s">
        <v>78</v>
      </c>
      <c r="BL23" s="82"/>
      <c r="BM23" s="82"/>
      <c r="BN23" s="82"/>
      <c r="BO23" s="82"/>
      <c r="BP23" s="82"/>
      <c r="BQ23" s="82"/>
      <c r="BR23" s="28"/>
      <c r="BS23" s="28"/>
      <c r="BT23" s="28"/>
      <c r="BU23" s="28"/>
      <c r="BV23" s="28"/>
      <c r="BW23" s="28"/>
      <c r="BX23" s="28"/>
      <c r="BY23" s="28"/>
      <c r="BZ23" s="28"/>
      <c r="CA23" s="27"/>
      <c r="CB23" s="68" t="s">
        <v>232</v>
      </c>
      <c r="CC23" s="68"/>
      <c r="CD23" s="68"/>
      <c r="CE23" s="68"/>
      <c r="CF23" s="68"/>
      <c r="CG23" s="68"/>
      <c r="CH23" s="27"/>
      <c r="CI23" s="27"/>
      <c r="CJ23" s="27"/>
      <c r="CK23" s="27"/>
    </row>
    <row r="24" spans="2:176" s="1" customFormat="1" ht="5.55" customHeight="1" x14ac:dyDescent="0.2">
      <c r="B24" s="80"/>
      <c r="C24" s="80"/>
      <c r="D24" s="80"/>
      <c r="E24" s="80"/>
      <c r="F24" s="26"/>
      <c r="G24" s="27"/>
      <c r="H24" s="27"/>
      <c r="I24" s="27"/>
      <c r="J24" s="26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65" t="s">
        <v>79</v>
      </c>
      <c r="Z24" s="65"/>
      <c r="AA24" s="65"/>
      <c r="AB24" s="65"/>
      <c r="AC24" s="65"/>
      <c r="AD24" s="65"/>
      <c r="AE24" s="65"/>
      <c r="AF24" s="65"/>
      <c r="AG24" s="27"/>
      <c r="AH24" s="27"/>
      <c r="AI24" s="27"/>
      <c r="AJ24" s="27"/>
      <c r="AK24" s="65" t="s">
        <v>80</v>
      </c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65" t="s">
        <v>79</v>
      </c>
      <c r="BS24" s="65"/>
      <c r="BT24" s="65"/>
      <c r="BU24" s="65"/>
      <c r="BV24" s="65"/>
      <c r="BW24" s="65"/>
      <c r="BX24" s="65"/>
      <c r="BY24" s="65"/>
      <c r="BZ24" s="65"/>
      <c r="CA24" s="27"/>
      <c r="CB24" s="65" t="s">
        <v>80</v>
      </c>
      <c r="CC24" s="65"/>
      <c r="CD24" s="65"/>
      <c r="CE24" s="65"/>
      <c r="CF24" s="65"/>
      <c r="CG24" s="65"/>
      <c r="CH24" s="27"/>
      <c r="CI24" s="27"/>
      <c r="CJ24" s="27"/>
      <c r="CK24" s="27"/>
    </row>
    <row r="25" spans="2:176" s="1" customFormat="1" ht="16.8" customHeight="1" x14ac:dyDescent="0.2">
      <c r="B25" s="80"/>
      <c r="C25" s="80"/>
      <c r="D25" s="80"/>
      <c r="E25" s="80"/>
      <c r="F25" s="26"/>
      <c r="G25" s="27"/>
      <c r="H25" s="27"/>
      <c r="I25" s="27"/>
      <c r="J25" s="26"/>
      <c r="K25" s="27"/>
      <c r="L25" s="81" t="s">
        <v>81</v>
      </c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28"/>
      <c r="Z25" s="28"/>
      <c r="AA25" s="28"/>
      <c r="AB25" s="28"/>
      <c r="AC25" s="28"/>
      <c r="AD25" s="28"/>
      <c r="AE25" s="28"/>
      <c r="AF25" s="28"/>
      <c r="AG25" s="27"/>
      <c r="AH25" s="27"/>
      <c r="AI25" s="27"/>
      <c r="AJ25" s="27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27"/>
      <c r="CI25" s="27"/>
      <c r="CJ25" s="27"/>
      <c r="CK25" s="27"/>
    </row>
    <row r="26" spans="2:176" s="1" customFormat="1" ht="5.55" customHeight="1" x14ac:dyDescent="0.2">
      <c r="B26" s="80"/>
      <c r="C26" s="80"/>
      <c r="D26" s="80"/>
      <c r="E26" s="80"/>
      <c r="F26" s="29"/>
      <c r="G26" s="30"/>
      <c r="H26" s="30"/>
      <c r="I26" s="30"/>
      <c r="J26" s="29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73" t="s">
        <v>79</v>
      </c>
      <c r="Z26" s="73"/>
      <c r="AA26" s="73"/>
      <c r="AB26" s="73"/>
      <c r="AC26" s="73"/>
      <c r="AD26" s="73"/>
      <c r="AE26" s="73"/>
      <c r="AF26" s="73"/>
      <c r="AG26" s="30"/>
      <c r="AH26" s="30"/>
      <c r="AI26" s="30"/>
      <c r="AJ26" s="30"/>
      <c r="AK26" s="73" t="s">
        <v>80</v>
      </c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73" t="s">
        <v>82</v>
      </c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27"/>
      <c r="CI26" s="27"/>
      <c r="CJ26" s="27"/>
      <c r="CK26" s="27"/>
    </row>
    <row r="27" spans="2:176" s="5" customFormat="1" ht="3.15" customHeight="1" x14ac:dyDescent="0.2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3" t="s">
        <v>83</v>
      </c>
      <c r="CG27" s="83"/>
      <c r="CH27" s="83"/>
      <c r="CI27" s="14"/>
      <c r="CJ27" s="14"/>
      <c r="CK27" s="14"/>
    </row>
    <row r="28" spans="2:176" ht="8.85" customHeight="1" x14ac:dyDescent="0.2">
      <c r="B28" s="27"/>
      <c r="C28" s="67" t="s">
        <v>84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8" t="s">
        <v>233</v>
      </c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83"/>
      <c r="CG28" s="83"/>
      <c r="CH28" s="83"/>
      <c r="CI28" s="27"/>
      <c r="CJ28" s="27"/>
      <c r="CK28" s="27"/>
    </row>
    <row r="29" spans="2:176" s="5" customFormat="1" ht="5.55" customHeight="1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65" t="s">
        <v>85</v>
      </c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83"/>
      <c r="CG29" s="83"/>
      <c r="CH29" s="83"/>
      <c r="CI29" s="14"/>
      <c r="CJ29" s="14"/>
      <c r="CK29" s="14"/>
    </row>
    <row r="30" spans="2:176" ht="8.85" customHeight="1" x14ac:dyDescent="0.2">
      <c r="B30" s="27"/>
      <c r="C30" s="84" t="s">
        <v>86</v>
      </c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72" t="s">
        <v>87</v>
      </c>
      <c r="CG30" s="72"/>
      <c r="CH30" s="72"/>
      <c r="CI30" s="27"/>
      <c r="CJ30" s="27"/>
      <c r="CK30" s="27"/>
    </row>
    <row r="31" spans="2:176" s="5" customFormat="1" ht="5.55" customHeight="1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65" t="s">
        <v>88</v>
      </c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72"/>
      <c r="CG31" s="72"/>
      <c r="CH31" s="72"/>
      <c r="CI31" s="14"/>
      <c r="CJ31" s="14"/>
      <c r="CK31" s="14"/>
    </row>
    <row r="32" spans="2:176" s="5" customFormat="1" ht="3.15" customHeight="1" x14ac:dyDescent="0.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</row>
    <row r="33" spans="2:89" ht="8.85" customHeight="1" x14ac:dyDescent="0.2">
      <c r="B33" s="27"/>
      <c r="C33" s="67" t="s">
        <v>89</v>
      </c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31"/>
      <c r="AX33" s="31"/>
      <c r="AY33" s="27"/>
      <c r="AZ33" s="27"/>
      <c r="BA33" s="27"/>
      <c r="BB33" s="27"/>
      <c r="BC33" s="27"/>
      <c r="BD33" s="27"/>
      <c r="BE33" s="26"/>
      <c r="BF33" s="67" t="s">
        <v>90</v>
      </c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31"/>
      <c r="CG33" s="31"/>
      <c r="CH33" s="31"/>
      <c r="CI33" s="27"/>
      <c r="CJ33" s="27"/>
      <c r="CK33" s="27"/>
    </row>
    <row r="34" spans="2:89" ht="8.85" customHeight="1" x14ac:dyDescent="0.2">
      <c r="B34" s="27"/>
      <c r="C34" s="28"/>
      <c r="D34" s="28"/>
      <c r="E34" s="28"/>
      <c r="F34" s="28"/>
      <c r="G34" s="28"/>
      <c r="H34" s="28"/>
      <c r="I34" s="28"/>
      <c r="J34" s="28"/>
      <c r="K34" s="27"/>
      <c r="L34" s="27"/>
      <c r="M34" s="27"/>
      <c r="N34" s="27"/>
      <c r="O34" s="27"/>
      <c r="P34" s="27"/>
      <c r="Q34" s="28"/>
      <c r="R34" s="28"/>
      <c r="S34" s="28"/>
      <c r="T34" s="2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27"/>
      <c r="AF34" s="27"/>
      <c r="AG34" s="27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64" t="s">
        <v>91</v>
      </c>
      <c r="AX34" s="64"/>
      <c r="AY34" s="27"/>
      <c r="AZ34" s="27"/>
      <c r="BA34" s="27"/>
      <c r="BB34" s="27"/>
      <c r="BC34" s="27"/>
      <c r="BD34" s="27"/>
      <c r="BE34" s="26"/>
      <c r="BF34" s="28"/>
      <c r="BG34" s="28"/>
      <c r="BH34" s="28"/>
      <c r="BI34" s="28"/>
      <c r="BJ34" s="28"/>
      <c r="BK34" s="28"/>
      <c r="BL34" s="28"/>
      <c r="BM34" s="28"/>
      <c r="BN34" s="28"/>
      <c r="BO34" s="27"/>
      <c r="BP34" s="27"/>
      <c r="BQ34" s="68"/>
      <c r="BR34" s="68"/>
      <c r="BS34" s="68"/>
      <c r="BT34" s="68"/>
      <c r="BU34" s="68"/>
      <c r="BV34" s="68"/>
      <c r="BW34" s="68"/>
      <c r="BX34" s="27"/>
      <c r="BY34" s="27"/>
      <c r="BZ34" s="28"/>
      <c r="CA34" s="28"/>
      <c r="CB34" s="28"/>
      <c r="CC34" s="28"/>
      <c r="CD34" s="28"/>
      <c r="CE34" s="28"/>
      <c r="CF34" s="64" t="s">
        <v>92</v>
      </c>
      <c r="CG34" s="64"/>
      <c r="CH34" s="64"/>
      <c r="CI34" s="27"/>
      <c r="CJ34" s="27"/>
      <c r="CK34" s="27"/>
    </row>
    <row r="35" spans="2:89" s="5" customFormat="1" ht="5.55" customHeight="1" x14ac:dyDescent="0.2">
      <c r="B35" s="14"/>
      <c r="C35" s="65" t="s">
        <v>93</v>
      </c>
      <c r="D35" s="65"/>
      <c r="E35" s="65"/>
      <c r="F35" s="65"/>
      <c r="G35" s="65"/>
      <c r="H35" s="65"/>
      <c r="I35" s="65"/>
      <c r="J35" s="65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65" t="s">
        <v>79</v>
      </c>
      <c r="V35" s="65"/>
      <c r="W35" s="65"/>
      <c r="X35" s="65"/>
      <c r="Y35" s="65"/>
      <c r="Z35" s="65"/>
      <c r="AA35" s="65"/>
      <c r="AB35" s="65"/>
      <c r="AC35" s="65"/>
      <c r="AD35" s="65"/>
      <c r="AE35" s="14"/>
      <c r="AF35" s="14"/>
      <c r="AG35" s="14"/>
      <c r="AH35" s="65" t="s">
        <v>80</v>
      </c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4"/>
      <c r="AX35" s="64"/>
      <c r="AY35" s="14"/>
      <c r="AZ35" s="14"/>
      <c r="BA35" s="14"/>
      <c r="BB35" s="14"/>
      <c r="BC35" s="14"/>
      <c r="BD35" s="14"/>
      <c r="BE35" s="26"/>
      <c r="BF35" s="65" t="s">
        <v>93</v>
      </c>
      <c r="BG35" s="65"/>
      <c r="BH35" s="65"/>
      <c r="BI35" s="65"/>
      <c r="BJ35" s="65"/>
      <c r="BK35" s="65"/>
      <c r="BL35" s="65"/>
      <c r="BM35" s="65"/>
      <c r="BN35" s="65"/>
      <c r="BO35" s="14"/>
      <c r="BP35" s="14"/>
      <c r="BQ35" s="65" t="s">
        <v>79</v>
      </c>
      <c r="BR35" s="65"/>
      <c r="BS35" s="65"/>
      <c r="BT35" s="65"/>
      <c r="BU35" s="65"/>
      <c r="BV35" s="65"/>
      <c r="BW35" s="65"/>
      <c r="BX35" s="14"/>
      <c r="BY35" s="14"/>
      <c r="BZ35" s="65" t="s">
        <v>80</v>
      </c>
      <c r="CA35" s="65"/>
      <c r="CB35" s="65"/>
      <c r="CC35" s="65"/>
      <c r="CD35" s="65"/>
      <c r="CE35" s="65"/>
      <c r="CF35" s="64"/>
      <c r="CG35" s="64"/>
      <c r="CH35" s="64"/>
      <c r="CI35" s="14"/>
      <c r="CJ35" s="14"/>
      <c r="CK35" s="14"/>
    </row>
    <row r="36" spans="2:89" ht="8.85" customHeight="1" x14ac:dyDescent="0.2">
      <c r="B36" s="27"/>
      <c r="C36" s="67" t="s">
        <v>94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70"/>
      <c r="X36" s="70"/>
      <c r="Y36" s="70"/>
      <c r="Z36" s="70"/>
      <c r="AA36" s="70"/>
      <c r="AB36" s="70"/>
      <c r="AC36" s="70"/>
      <c r="AD36" s="70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71" t="s">
        <v>95</v>
      </c>
      <c r="AX36" s="71"/>
      <c r="AY36" s="27"/>
      <c r="AZ36" s="27"/>
      <c r="BA36" s="27"/>
      <c r="BB36" s="27"/>
      <c r="BC36" s="27"/>
      <c r="BD36" s="27"/>
      <c r="BE36" s="26"/>
      <c r="BF36" s="67" t="s">
        <v>96</v>
      </c>
      <c r="BG36" s="67"/>
      <c r="BH36" s="67"/>
      <c r="BI36" s="67"/>
      <c r="BJ36" s="67"/>
      <c r="BK36" s="67"/>
      <c r="BL36" s="67"/>
      <c r="BM36" s="67"/>
      <c r="BN36" s="67"/>
      <c r="BO36" s="27"/>
      <c r="BP36" s="27"/>
      <c r="BQ36" s="70" t="s">
        <v>97</v>
      </c>
      <c r="BR36" s="70"/>
      <c r="BS36" s="70"/>
      <c r="BT36" s="70"/>
      <c r="BU36" s="70"/>
      <c r="BV36" s="70"/>
      <c r="BW36" s="70"/>
      <c r="BX36" s="27"/>
      <c r="BY36" s="27"/>
      <c r="BZ36" s="27"/>
      <c r="CA36" s="27"/>
      <c r="CB36" s="27"/>
      <c r="CC36" s="27"/>
      <c r="CD36" s="27"/>
      <c r="CE36" s="27"/>
      <c r="CF36" s="69" t="s">
        <v>98</v>
      </c>
      <c r="CG36" s="69"/>
      <c r="CH36" s="69"/>
      <c r="CI36" s="27"/>
      <c r="CJ36" s="27"/>
      <c r="CK36" s="27"/>
    </row>
    <row r="37" spans="2:89" s="5" customFormat="1" ht="3.15" customHeight="1" x14ac:dyDescent="0.2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26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</row>
    <row r="38" spans="2:89" ht="8.85" customHeight="1" x14ac:dyDescent="0.2">
      <c r="B38" s="27"/>
      <c r="C38" s="67" t="s">
        <v>99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31"/>
      <c r="AX38" s="31"/>
      <c r="AY38" s="27"/>
      <c r="AZ38" s="27"/>
      <c r="BA38" s="27"/>
      <c r="BB38" s="27"/>
      <c r="BC38" s="27"/>
      <c r="BD38" s="27"/>
      <c r="BE38" s="26"/>
      <c r="BF38" s="67" t="s">
        <v>100</v>
      </c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31"/>
      <c r="CG38" s="31"/>
      <c r="CH38" s="31"/>
      <c r="CI38" s="27"/>
      <c r="CJ38" s="27"/>
      <c r="CK38" s="27"/>
    </row>
    <row r="39" spans="2:89" ht="8.85" customHeight="1" x14ac:dyDescent="0.2">
      <c r="B39" s="27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4" t="s">
        <v>101</v>
      </c>
      <c r="AX39" s="64"/>
      <c r="AY39" s="27"/>
      <c r="AZ39" s="27"/>
      <c r="BA39" s="27"/>
      <c r="BB39" s="27"/>
      <c r="BC39" s="27"/>
      <c r="BD39" s="27"/>
      <c r="BE39" s="26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4" t="s">
        <v>102</v>
      </c>
      <c r="CG39" s="64"/>
      <c r="CH39" s="64"/>
      <c r="CI39" s="27"/>
      <c r="CJ39" s="27"/>
      <c r="CK39" s="27"/>
    </row>
    <row r="40" spans="2:89" s="5" customFormat="1" ht="5.55" customHeight="1" x14ac:dyDescent="0.2">
      <c r="B40" s="14"/>
      <c r="C40" s="65" t="s">
        <v>103</v>
      </c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4"/>
      <c r="AX40" s="64"/>
      <c r="AY40" s="14"/>
      <c r="AZ40" s="14"/>
      <c r="BA40" s="14"/>
      <c r="BB40" s="14"/>
      <c r="BC40" s="14"/>
      <c r="BD40" s="14"/>
      <c r="BE40" s="26"/>
      <c r="BF40" s="65" t="s">
        <v>104</v>
      </c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4"/>
      <c r="CG40" s="64"/>
      <c r="CH40" s="64"/>
      <c r="CI40" s="14"/>
      <c r="CJ40" s="14"/>
      <c r="CK40" s="14"/>
    </row>
    <row r="41" spans="2:89" ht="8.85" customHeight="1" x14ac:dyDescent="0.2">
      <c r="B41" s="27"/>
      <c r="C41" s="67" t="s">
        <v>105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31"/>
      <c r="AX41" s="31"/>
      <c r="AY41" s="27"/>
      <c r="AZ41" s="27"/>
      <c r="BA41" s="27"/>
      <c r="BB41" s="27"/>
      <c r="BC41" s="27"/>
      <c r="BD41" s="27"/>
      <c r="BE41" s="26"/>
      <c r="BF41" s="67" t="s">
        <v>105</v>
      </c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31"/>
      <c r="CG41" s="31"/>
      <c r="CH41" s="31"/>
      <c r="CI41" s="27"/>
      <c r="CJ41" s="27"/>
      <c r="CK41" s="27"/>
    </row>
    <row r="42" spans="2:89" ht="8.85" customHeight="1" x14ac:dyDescent="0.2">
      <c r="B42" s="27"/>
      <c r="C42" s="68"/>
      <c r="D42" s="68"/>
      <c r="E42" s="68"/>
      <c r="F42" s="68"/>
      <c r="G42" s="68"/>
      <c r="H42" s="68"/>
      <c r="I42" s="68"/>
      <c r="J42" s="68"/>
      <c r="K42" s="27"/>
      <c r="L42" s="27"/>
      <c r="M42" s="27"/>
      <c r="N42" s="27"/>
      <c r="O42" s="27"/>
      <c r="P42" s="27"/>
      <c r="Q42" s="28"/>
      <c r="R42" s="28"/>
      <c r="S42" s="28"/>
      <c r="T42" s="2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27"/>
      <c r="AF42" s="27"/>
      <c r="AG42" s="27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4" t="s">
        <v>106</v>
      </c>
      <c r="AX42" s="64"/>
      <c r="AY42" s="27"/>
      <c r="AZ42" s="27"/>
      <c r="BA42" s="27"/>
      <c r="BB42" s="27"/>
      <c r="BC42" s="27"/>
      <c r="BD42" s="27"/>
      <c r="BE42" s="26"/>
      <c r="BF42" s="28"/>
      <c r="BG42" s="28"/>
      <c r="BH42" s="28"/>
      <c r="BI42" s="28"/>
      <c r="BJ42" s="28"/>
      <c r="BK42" s="28"/>
      <c r="BL42" s="28"/>
      <c r="BM42" s="28"/>
      <c r="BN42" s="28"/>
      <c r="BO42" s="27"/>
      <c r="BP42" s="27"/>
      <c r="BQ42" s="68"/>
      <c r="BR42" s="68"/>
      <c r="BS42" s="68"/>
      <c r="BT42" s="68"/>
      <c r="BU42" s="68"/>
      <c r="BV42" s="68"/>
      <c r="BW42" s="68"/>
      <c r="BX42" s="27"/>
      <c r="BY42" s="27"/>
      <c r="BZ42" s="28"/>
      <c r="CA42" s="28"/>
      <c r="CB42" s="28"/>
      <c r="CC42" s="28"/>
      <c r="CD42" s="28"/>
      <c r="CE42" s="28"/>
      <c r="CF42" s="64" t="s">
        <v>107</v>
      </c>
      <c r="CG42" s="64"/>
      <c r="CH42" s="64"/>
      <c r="CI42" s="27"/>
      <c r="CJ42" s="27"/>
      <c r="CK42" s="27"/>
    </row>
    <row r="43" spans="2:89" s="5" customFormat="1" ht="5.55" customHeight="1" x14ac:dyDescent="0.2">
      <c r="B43" s="14"/>
      <c r="C43" s="65" t="s">
        <v>93</v>
      </c>
      <c r="D43" s="65"/>
      <c r="E43" s="65"/>
      <c r="F43" s="65"/>
      <c r="G43" s="65"/>
      <c r="H43" s="65"/>
      <c r="I43" s="65"/>
      <c r="J43" s="65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65" t="s">
        <v>79</v>
      </c>
      <c r="V43" s="65"/>
      <c r="W43" s="65"/>
      <c r="X43" s="65"/>
      <c r="Y43" s="65"/>
      <c r="Z43" s="65"/>
      <c r="AA43" s="65"/>
      <c r="AB43" s="65"/>
      <c r="AC43" s="65"/>
      <c r="AD43" s="65"/>
      <c r="AE43" s="14"/>
      <c r="AF43" s="14"/>
      <c r="AG43" s="14"/>
      <c r="AH43" s="65" t="s">
        <v>80</v>
      </c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4"/>
      <c r="AX43" s="64"/>
      <c r="AY43" s="14"/>
      <c r="AZ43" s="14"/>
      <c r="BA43" s="14"/>
      <c r="BB43" s="14"/>
      <c r="BC43" s="14"/>
      <c r="BD43" s="14"/>
      <c r="BE43" s="26"/>
      <c r="BF43" s="65" t="s">
        <v>93</v>
      </c>
      <c r="BG43" s="65"/>
      <c r="BH43" s="65"/>
      <c r="BI43" s="65"/>
      <c r="BJ43" s="65"/>
      <c r="BK43" s="65"/>
      <c r="BL43" s="65"/>
      <c r="BM43" s="65"/>
      <c r="BN43" s="65"/>
      <c r="BO43" s="14"/>
      <c r="BP43" s="14"/>
      <c r="BQ43" s="65" t="s">
        <v>79</v>
      </c>
      <c r="BR43" s="65"/>
      <c r="BS43" s="65"/>
      <c r="BT43" s="65"/>
      <c r="BU43" s="65"/>
      <c r="BV43" s="65"/>
      <c r="BW43" s="65"/>
      <c r="BX43" s="14"/>
      <c r="BY43" s="14"/>
      <c r="BZ43" s="65" t="s">
        <v>80</v>
      </c>
      <c r="CA43" s="65"/>
      <c r="CB43" s="65"/>
      <c r="CC43" s="65"/>
      <c r="CD43" s="65"/>
      <c r="CE43" s="65"/>
      <c r="CF43" s="64"/>
      <c r="CG43" s="64"/>
      <c r="CH43" s="64"/>
      <c r="CI43" s="14"/>
      <c r="CJ43" s="14"/>
      <c r="CK43" s="14"/>
    </row>
    <row r="44" spans="2:89" ht="8.85" customHeight="1" x14ac:dyDescent="0.2">
      <c r="B44" s="27"/>
      <c r="C44" s="67" t="s">
        <v>108</v>
      </c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31"/>
      <c r="AX44" s="31"/>
      <c r="AY44" s="27"/>
      <c r="AZ44" s="27"/>
      <c r="BA44" s="27"/>
      <c r="BB44" s="27"/>
      <c r="BC44" s="27"/>
      <c r="BD44" s="27"/>
      <c r="BE44" s="26"/>
      <c r="BF44" s="67" t="s">
        <v>109</v>
      </c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31"/>
      <c r="CG44" s="31"/>
      <c r="CH44" s="31"/>
      <c r="CI44" s="27"/>
      <c r="CJ44" s="27"/>
      <c r="CK44" s="27"/>
    </row>
    <row r="45" spans="2:89" ht="18.45" customHeight="1" x14ac:dyDescent="0.2">
      <c r="B45" s="27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4" t="s">
        <v>110</v>
      </c>
      <c r="AX45" s="64"/>
      <c r="AY45" s="27"/>
      <c r="AZ45" s="27"/>
      <c r="BA45" s="27"/>
      <c r="BB45" s="27"/>
      <c r="BC45" s="27"/>
      <c r="BD45" s="27"/>
      <c r="BE45" s="26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4" t="s">
        <v>111</v>
      </c>
      <c r="CG45" s="64"/>
      <c r="CH45" s="64"/>
      <c r="CI45" s="27"/>
      <c r="CJ45" s="27"/>
      <c r="CK45" s="27"/>
    </row>
    <row r="46" spans="2:89" s="5" customFormat="1" ht="5.55" customHeight="1" x14ac:dyDescent="0.2">
      <c r="B46" s="14"/>
      <c r="C46" s="65" t="s">
        <v>112</v>
      </c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4"/>
      <c r="AX46" s="64"/>
      <c r="AY46" s="14"/>
      <c r="AZ46" s="14"/>
      <c r="BA46" s="14"/>
      <c r="BB46" s="14"/>
      <c r="BC46" s="14"/>
      <c r="BD46" s="14"/>
      <c r="BE46" s="26"/>
      <c r="BF46" s="65" t="s">
        <v>112</v>
      </c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4"/>
      <c r="CG46" s="64"/>
      <c r="CH46" s="64"/>
      <c r="CI46" s="14"/>
      <c r="CJ46" s="14"/>
      <c r="CK46" s="14"/>
    </row>
    <row r="47" spans="2:89" ht="8.85" customHeight="1" x14ac:dyDescent="0.2">
      <c r="B47" s="27"/>
      <c r="C47" s="66" t="s">
        <v>113</v>
      </c>
      <c r="D47" s="66"/>
      <c r="E47" s="66"/>
      <c r="F47" s="66"/>
      <c r="G47" s="66"/>
      <c r="H47" s="66"/>
      <c r="I47" s="66"/>
      <c r="J47" s="66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31"/>
      <c r="AX47" s="31"/>
      <c r="AY47" s="27"/>
      <c r="AZ47" s="27"/>
      <c r="BA47" s="27"/>
      <c r="BB47" s="27"/>
      <c r="BC47" s="27"/>
      <c r="BD47" s="27"/>
      <c r="BE47" s="26"/>
      <c r="BF47" s="66" t="s">
        <v>113</v>
      </c>
      <c r="BG47" s="66"/>
      <c r="BH47" s="66"/>
      <c r="BI47" s="66"/>
      <c r="BJ47" s="66"/>
      <c r="BK47" s="66"/>
      <c r="BL47" s="66"/>
      <c r="BM47" s="66"/>
      <c r="BN47" s="66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31"/>
      <c r="CG47" s="31"/>
      <c r="CH47" s="31"/>
      <c r="CI47" s="27"/>
      <c r="CJ47" s="27"/>
      <c r="CK47" s="27"/>
    </row>
  </sheetData>
  <mergeCells count="287">
    <mergeCell ref="CG5:CI5"/>
    <mergeCell ref="B1:E3"/>
    <mergeCell ref="H1:N1"/>
    <mergeCell ref="O1:U1"/>
    <mergeCell ref="V1:W1"/>
    <mergeCell ref="X1:AG1"/>
    <mergeCell ref="AH1:AL1"/>
    <mergeCell ref="BA1:CH3"/>
    <mergeCell ref="H2:N2"/>
    <mergeCell ref="O2:U2"/>
    <mergeCell ref="AH2:AL2"/>
    <mergeCell ref="B5:C5"/>
    <mergeCell ref="G5:R5"/>
    <mergeCell ref="S5:BF5"/>
    <mergeCell ref="BG5:BH5"/>
    <mergeCell ref="BI5:BO5"/>
    <mergeCell ref="G4:R4"/>
    <mergeCell ref="S4:BF4"/>
    <mergeCell ref="BG4:BH4"/>
    <mergeCell ref="BI4:BO4"/>
    <mergeCell ref="CG4:CI4"/>
    <mergeCell ref="CG7:CI7"/>
    <mergeCell ref="G6:R6"/>
    <mergeCell ref="S6:BF6"/>
    <mergeCell ref="BG6:BH6"/>
    <mergeCell ref="BI6:BO6"/>
    <mergeCell ref="CG6:CI6"/>
    <mergeCell ref="CG8:CI9"/>
    <mergeCell ref="G9:R9"/>
    <mergeCell ref="S9:BF9"/>
    <mergeCell ref="BG9:BH9"/>
    <mergeCell ref="G8:R8"/>
    <mergeCell ref="S8:BF8"/>
    <mergeCell ref="BG8:BH8"/>
    <mergeCell ref="BI8:BX9"/>
    <mergeCell ref="BY8:CF9"/>
    <mergeCell ref="B7:E10"/>
    <mergeCell ref="G7:R7"/>
    <mergeCell ref="BN12:BS13"/>
    <mergeCell ref="BT12:CB12"/>
    <mergeCell ref="CC12:CD13"/>
    <mergeCell ref="F11:S11"/>
    <mergeCell ref="B12:E13"/>
    <mergeCell ref="F12:H13"/>
    <mergeCell ref="I12:S13"/>
    <mergeCell ref="T12:V13"/>
    <mergeCell ref="W12:Y12"/>
    <mergeCell ref="Z12:AB13"/>
    <mergeCell ref="AC12:AM13"/>
    <mergeCell ref="AN12:AR13"/>
    <mergeCell ref="S7:BF7"/>
    <mergeCell ref="BG7:BH7"/>
    <mergeCell ref="BI7:BO7"/>
    <mergeCell ref="BS7:CF7"/>
    <mergeCell ref="G10:R10"/>
    <mergeCell ref="S10:BF10"/>
    <mergeCell ref="BG10:BH10"/>
    <mergeCell ref="BB14:BI14"/>
    <mergeCell ref="BJ14:BK14"/>
    <mergeCell ref="BL14:BM14"/>
    <mergeCell ref="BN14:BS14"/>
    <mergeCell ref="CE12:CK13"/>
    <mergeCell ref="X13:Y13"/>
    <mergeCell ref="BJ13:BK13"/>
    <mergeCell ref="BL13:BM13"/>
    <mergeCell ref="BT13:BU13"/>
    <mergeCell ref="BV13:CB13"/>
    <mergeCell ref="Z14:AB14"/>
    <mergeCell ref="AC14:AM14"/>
    <mergeCell ref="AN14:AR14"/>
    <mergeCell ref="AT14:AV14"/>
    <mergeCell ref="BJ12:BM12"/>
    <mergeCell ref="BT14:BU14"/>
    <mergeCell ref="AS12:AS13"/>
    <mergeCell ref="AT12:AV13"/>
    <mergeCell ref="AW12:BA13"/>
    <mergeCell ref="BB12:BI13"/>
    <mergeCell ref="AW15:BA15"/>
    <mergeCell ref="AW14:BA14"/>
    <mergeCell ref="F15:H15"/>
    <mergeCell ref="I15:S15"/>
    <mergeCell ref="T15:V15"/>
    <mergeCell ref="X15:Y15"/>
    <mergeCell ref="Z15:AB15"/>
    <mergeCell ref="B14:E14"/>
    <mergeCell ref="F14:H14"/>
    <mergeCell ref="I14:S14"/>
    <mergeCell ref="T14:V14"/>
    <mergeCell ref="X14:Y14"/>
    <mergeCell ref="BN15:BS15"/>
    <mergeCell ref="BT15:BU15"/>
    <mergeCell ref="BR24:BZ24"/>
    <mergeCell ref="CB24:CG24"/>
    <mergeCell ref="L25:X25"/>
    <mergeCell ref="BM25:CG25"/>
    <mergeCell ref="BB16:BI16"/>
    <mergeCell ref="BV16:CB16"/>
    <mergeCell ref="AC17:AM17"/>
    <mergeCell ref="AN17:AR17"/>
    <mergeCell ref="AT17:AV17"/>
    <mergeCell ref="AW17:BA17"/>
    <mergeCell ref="BV18:CB18"/>
    <mergeCell ref="CE18:CK18"/>
    <mergeCell ref="BB19:BI19"/>
    <mergeCell ref="BJ19:BK19"/>
    <mergeCell ref="BL19:BM19"/>
    <mergeCell ref="BN19:BS19"/>
    <mergeCell ref="BT19:BU19"/>
    <mergeCell ref="BV19:CB19"/>
    <mergeCell ref="CC19:CD19"/>
    <mergeCell ref="AC15:AM15"/>
    <mergeCell ref="AN15:AR15"/>
    <mergeCell ref="AT15:AV15"/>
    <mergeCell ref="Y26:AF26"/>
    <mergeCell ref="AK26:AW26"/>
    <mergeCell ref="BM26:CG26"/>
    <mergeCell ref="C33:AV33"/>
    <mergeCell ref="BF33:CE33"/>
    <mergeCell ref="F21:S21"/>
    <mergeCell ref="AC21:AM21"/>
    <mergeCell ref="AN21:AR21"/>
    <mergeCell ref="AS21:AV21"/>
    <mergeCell ref="AW21:BA21"/>
    <mergeCell ref="BB21:BI21"/>
    <mergeCell ref="BJ21:CK21"/>
    <mergeCell ref="B23:E26"/>
    <mergeCell ref="L23:X23"/>
    <mergeCell ref="AK23:AW23"/>
    <mergeCell ref="BK23:BQ23"/>
    <mergeCell ref="CB23:CG23"/>
    <mergeCell ref="Y24:AF24"/>
    <mergeCell ref="AK24:AW24"/>
    <mergeCell ref="AA27:CE28"/>
    <mergeCell ref="CF27:CH29"/>
    <mergeCell ref="C28:Z28"/>
    <mergeCell ref="AA29:CE29"/>
    <mergeCell ref="C30:V30"/>
    <mergeCell ref="W30:CE30"/>
    <mergeCell ref="CF30:CH31"/>
    <mergeCell ref="W31:CE31"/>
    <mergeCell ref="U34:AD34"/>
    <mergeCell ref="AW34:AX35"/>
    <mergeCell ref="BQ34:BW34"/>
    <mergeCell ref="CF34:CH35"/>
    <mergeCell ref="C35:J35"/>
    <mergeCell ref="U35:AD35"/>
    <mergeCell ref="AH35:AV35"/>
    <mergeCell ref="BF35:BN35"/>
    <mergeCell ref="BQ35:BW35"/>
    <mergeCell ref="BZ35:CE35"/>
    <mergeCell ref="CF36:CH36"/>
    <mergeCell ref="C38:AV38"/>
    <mergeCell ref="BF38:CE38"/>
    <mergeCell ref="C39:AV39"/>
    <mergeCell ref="AW39:AX40"/>
    <mergeCell ref="BF39:CE39"/>
    <mergeCell ref="CF39:CH40"/>
    <mergeCell ref="C40:AV40"/>
    <mergeCell ref="BF40:CE40"/>
    <mergeCell ref="C36:V36"/>
    <mergeCell ref="W36:AD36"/>
    <mergeCell ref="AW36:AX36"/>
    <mergeCell ref="BF36:BN36"/>
    <mergeCell ref="BQ36:BW36"/>
    <mergeCell ref="CF42:CH43"/>
    <mergeCell ref="C43:J43"/>
    <mergeCell ref="U43:AD43"/>
    <mergeCell ref="AH43:AV43"/>
    <mergeCell ref="BF43:BN43"/>
    <mergeCell ref="BQ43:BW43"/>
    <mergeCell ref="BZ43:CE43"/>
    <mergeCell ref="C41:AV41"/>
    <mergeCell ref="BF41:CE41"/>
    <mergeCell ref="C42:J42"/>
    <mergeCell ref="U42:AD42"/>
    <mergeCell ref="AH42:AV42"/>
    <mergeCell ref="AW42:AX43"/>
    <mergeCell ref="BQ42:BW42"/>
    <mergeCell ref="CF45:CH46"/>
    <mergeCell ref="C46:AV46"/>
    <mergeCell ref="BF46:CE46"/>
    <mergeCell ref="C47:J47"/>
    <mergeCell ref="BF47:BN47"/>
    <mergeCell ref="C44:AV44"/>
    <mergeCell ref="BF44:CE44"/>
    <mergeCell ref="C45:AV45"/>
    <mergeCell ref="AW45:AX46"/>
    <mergeCell ref="BF45:CE45"/>
    <mergeCell ref="FE15:FK15"/>
    <mergeCell ref="FL15:FM15"/>
    <mergeCell ref="FN15:FT15"/>
    <mergeCell ref="BJ16:BK16"/>
    <mergeCell ref="CO15:CQ15"/>
    <mergeCell ref="CR15:DB15"/>
    <mergeCell ref="DC15:DE15"/>
    <mergeCell ref="DG15:DH15"/>
    <mergeCell ref="DI15:DK15"/>
    <mergeCell ref="DL15:DV15"/>
    <mergeCell ref="DW15:EA15"/>
    <mergeCell ref="EC15:EE15"/>
    <mergeCell ref="EF15:EJ15"/>
    <mergeCell ref="BV15:CB15"/>
    <mergeCell ref="CC15:CD15"/>
    <mergeCell ref="CE15:CK15"/>
    <mergeCell ref="EK15:ER15"/>
    <mergeCell ref="ES15:ET15"/>
    <mergeCell ref="EU15:EV15"/>
    <mergeCell ref="EW15:FB15"/>
    <mergeCell ref="FC15:FD15"/>
    <mergeCell ref="BL16:BM16"/>
    <mergeCell ref="BN16:BS16"/>
    <mergeCell ref="BT16:BU16"/>
    <mergeCell ref="F16:H16"/>
    <mergeCell ref="I16:S16"/>
    <mergeCell ref="T16:V16"/>
    <mergeCell ref="X16:Y16"/>
    <mergeCell ref="Z16:AB16"/>
    <mergeCell ref="AC16:AM16"/>
    <mergeCell ref="AN16:AR16"/>
    <mergeCell ref="AT16:AV16"/>
    <mergeCell ref="AW16:BA16"/>
    <mergeCell ref="F17:H17"/>
    <mergeCell ref="I17:S17"/>
    <mergeCell ref="T17:V17"/>
    <mergeCell ref="X17:Y17"/>
    <mergeCell ref="Z17:AB17"/>
    <mergeCell ref="BJ18:BK18"/>
    <mergeCell ref="BL18:BM18"/>
    <mergeCell ref="BN18:BS18"/>
    <mergeCell ref="BT18:BU18"/>
    <mergeCell ref="AC18:AM18"/>
    <mergeCell ref="AN18:AR18"/>
    <mergeCell ref="AT18:AV18"/>
    <mergeCell ref="AW18:BA18"/>
    <mergeCell ref="BB18:BI18"/>
    <mergeCell ref="F18:H18"/>
    <mergeCell ref="I18:S18"/>
    <mergeCell ref="T18:V18"/>
    <mergeCell ref="X18:Y18"/>
    <mergeCell ref="Z18:AB18"/>
    <mergeCell ref="BB17:BI17"/>
    <mergeCell ref="BJ17:BK17"/>
    <mergeCell ref="BL17:BM17"/>
    <mergeCell ref="BN17:BS17"/>
    <mergeCell ref="BT17:BU17"/>
    <mergeCell ref="F19:H19"/>
    <mergeCell ref="I19:S19"/>
    <mergeCell ref="T19:V19"/>
    <mergeCell ref="X19:Y19"/>
    <mergeCell ref="Z19:AB19"/>
    <mergeCell ref="AC20:AM20"/>
    <mergeCell ref="AN20:AR20"/>
    <mergeCell ref="AT20:AV20"/>
    <mergeCell ref="AW20:BA20"/>
    <mergeCell ref="AC19:AM19"/>
    <mergeCell ref="AN19:AR19"/>
    <mergeCell ref="AT19:AV19"/>
    <mergeCell ref="AW19:BA19"/>
    <mergeCell ref="F20:H20"/>
    <mergeCell ref="I20:S20"/>
    <mergeCell ref="T20:V20"/>
    <mergeCell ref="X20:Y20"/>
    <mergeCell ref="Z20:AB20"/>
    <mergeCell ref="BB20:BI20"/>
    <mergeCell ref="BJ20:BK20"/>
    <mergeCell ref="BL20:BM20"/>
    <mergeCell ref="BN20:BS20"/>
    <mergeCell ref="BT20:BU20"/>
    <mergeCell ref="BV20:CB20"/>
    <mergeCell ref="CC20:CD20"/>
    <mergeCell ref="CE20:CK20"/>
    <mergeCell ref="BQ4:CF4"/>
    <mergeCell ref="BQ6:CF6"/>
    <mergeCell ref="BQ5:CF5"/>
    <mergeCell ref="CE19:CK19"/>
    <mergeCell ref="BV17:CB17"/>
    <mergeCell ref="CC17:CD17"/>
    <mergeCell ref="CE17:CK17"/>
    <mergeCell ref="CC18:CD18"/>
    <mergeCell ref="CC16:CD16"/>
    <mergeCell ref="CE16:CK16"/>
    <mergeCell ref="BV14:CB14"/>
    <mergeCell ref="CC14:CD14"/>
    <mergeCell ref="CE14:CK14"/>
    <mergeCell ref="BB15:BI15"/>
    <mergeCell ref="BJ15:BK15"/>
    <mergeCell ref="BL15:BM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УПД 01 — Овощи и зелень</vt:lpstr>
      <vt:lpstr>УПД 02 — Молочные продукты</vt:lpstr>
      <vt:lpstr>УПД 03 — Бакалея</vt:lpstr>
      <vt:lpstr>УПД 04 — Мясо и птица</vt:lpstr>
      <vt:lpstr>УПД 05 — Фрукты и напитки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Lyaguh</cp:lastModifiedBy>
  <dcterms:modified xsi:type="dcterms:W3CDTF">2026-10-13T11:05:17Z</dcterms:modified>
</cp:coreProperties>
</file>